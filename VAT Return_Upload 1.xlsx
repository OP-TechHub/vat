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curaint-my.sharepoint.com/personal/info_accuraint_com1/Documents/08_Client Data/05_Ocianpick/VAT/"/>
    </mc:Choice>
  </mc:AlternateContent>
  <xr:revisionPtr revIDLastSave="0" documentId="8_{9C73CACA-A852-499A-BAE4-2B0BDE7A780A}" xr6:coauthVersionLast="47" xr6:coauthVersionMax="47" xr10:uidLastSave="{00000000-0000-0000-0000-000000000000}"/>
  <bookViews>
    <workbookView xWindow="-108" yWindow="-108" windowWidth="23256" windowHeight="13896" xr2:uid="{26A99828-6D67-4BB0-AE7D-590E56CB0DF7}"/>
  </bookViews>
  <sheets>
    <sheet name="VAT Reconciliation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O49" i="1" l="1"/>
  <c r="BN49" i="1"/>
  <c r="BM49" i="1"/>
  <c r="BL49" i="1"/>
  <c r="BK49" i="1"/>
  <c r="BJ49" i="1"/>
  <c r="BI49" i="1"/>
  <c r="BH49" i="1"/>
  <c r="BG49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O48" i="1"/>
  <c r="BN48" i="1"/>
  <c r="BM48" i="1"/>
  <c r="BL48" i="1"/>
  <c r="BK48" i="1"/>
  <c r="BH48" i="1"/>
  <c r="BE48" i="1"/>
  <c r="BD48" i="1"/>
  <c r="BB48" i="1"/>
  <c r="BA48" i="1"/>
  <c r="AZ48" i="1"/>
  <c r="AY48" i="1"/>
  <c r="AX48" i="1"/>
  <c r="AW48" i="1"/>
  <c r="AT48" i="1"/>
  <c r="AQ48" i="1"/>
  <c r="AP48" i="1"/>
  <c r="AN48" i="1"/>
  <c r="AM48" i="1"/>
  <c r="AL48" i="1"/>
  <c r="AK48" i="1"/>
  <c r="AJ48" i="1"/>
  <c r="AI48" i="1"/>
  <c r="AF48" i="1"/>
  <c r="AC48" i="1"/>
  <c r="AB48" i="1"/>
  <c r="Z48" i="1"/>
  <c r="Y48" i="1"/>
  <c r="X48" i="1"/>
  <c r="W48" i="1"/>
  <c r="V48" i="1"/>
  <c r="U48" i="1"/>
  <c r="R48" i="1"/>
  <c r="O48" i="1"/>
  <c r="N48" i="1"/>
  <c r="L48" i="1"/>
  <c r="K48" i="1"/>
  <c r="J48" i="1"/>
  <c r="I48" i="1"/>
  <c r="H48" i="1"/>
  <c r="G48" i="1"/>
  <c r="D48" i="1"/>
  <c r="BO47" i="1"/>
  <c r="BN47" i="1"/>
  <c r="BM47" i="1"/>
  <c r="BL47" i="1"/>
  <c r="BK47" i="1"/>
  <c r="BJ47" i="1"/>
  <c r="BJ48" i="1" s="1"/>
  <c r="BI47" i="1"/>
  <c r="BI48" i="1" s="1"/>
  <c r="BH47" i="1"/>
  <c r="BG47" i="1"/>
  <c r="BG48" i="1" s="1"/>
  <c r="BF47" i="1"/>
  <c r="BF48" i="1" s="1"/>
  <c r="BE47" i="1"/>
  <c r="BD47" i="1"/>
  <c r="BC47" i="1"/>
  <c r="BC48" i="1" s="1"/>
  <c r="BB47" i="1"/>
  <c r="BA47" i="1"/>
  <c r="AZ47" i="1"/>
  <c r="AY47" i="1"/>
  <c r="AX47" i="1"/>
  <c r="AW47" i="1"/>
  <c r="AV47" i="1"/>
  <c r="AV48" i="1" s="1"/>
  <c r="AU47" i="1"/>
  <c r="AU48" i="1" s="1"/>
  <c r="AT47" i="1"/>
  <c r="AS47" i="1"/>
  <c r="AS48" i="1" s="1"/>
  <c r="AR47" i="1"/>
  <c r="AR48" i="1" s="1"/>
  <c r="AQ47" i="1"/>
  <c r="AP47" i="1"/>
  <c r="AO47" i="1"/>
  <c r="AO48" i="1" s="1"/>
  <c r="AN47" i="1"/>
  <c r="AM47" i="1"/>
  <c r="AL47" i="1"/>
  <c r="AK47" i="1"/>
  <c r="AJ47" i="1"/>
  <c r="AI47" i="1"/>
  <c r="AH47" i="1"/>
  <c r="AH48" i="1" s="1"/>
  <c r="AG47" i="1"/>
  <c r="AG48" i="1" s="1"/>
  <c r="AF47" i="1"/>
  <c r="AE47" i="1"/>
  <c r="AE48" i="1" s="1"/>
  <c r="AD47" i="1"/>
  <c r="AD48" i="1" s="1"/>
  <c r="AC47" i="1"/>
  <c r="AB47" i="1"/>
  <c r="AA47" i="1"/>
  <c r="AA48" i="1" s="1"/>
  <c r="Z47" i="1"/>
  <c r="Y47" i="1"/>
  <c r="X47" i="1"/>
  <c r="W47" i="1"/>
  <c r="V47" i="1"/>
  <c r="U47" i="1"/>
  <c r="T47" i="1"/>
  <c r="T48" i="1" s="1"/>
  <c r="S47" i="1"/>
  <c r="S48" i="1" s="1"/>
  <c r="R47" i="1"/>
  <c r="Q47" i="1"/>
  <c r="Q48" i="1" s="1"/>
  <c r="P47" i="1"/>
  <c r="P48" i="1" s="1"/>
  <c r="O47" i="1"/>
  <c r="N47" i="1"/>
  <c r="M47" i="1"/>
  <c r="M48" i="1" s="1"/>
  <c r="L47" i="1"/>
  <c r="K47" i="1"/>
  <c r="J47" i="1"/>
  <c r="I47" i="1"/>
  <c r="H47" i="1"/>
  <c r="G47" i="1"/>
  <c r="F47" i="1"/>
  <c r="F48" i="1" s="1"/>
  <c r="E47" i="1"/>
  <c r="E48" i="1" s="1"/>
  <c r="D47" i="1"/>
  <c r="C47" i="1"/>
  <c r="C48" i="1" s="1"/>
  <c r="BO46" i="1"/>
  <c r="BL46" i="1"/>
  <c r="BI46" i="1"/>
  <c r="BH46" i="1"/>
  <c r="BF46" i="1"/>
  <c r="BE46" i="1"/>
  <c r="BD46" i="1"/>
  <c r="BC46" i="1"/>
  <c r="BB46" i="1"/>
  <c r="BA46" i="1"/>
  <c r="AX46" i="1"/>
  <c r="AU46" i="1"/>
  <c r="AT46" i="1"/>
  <c r="AR46" i="1"/>
  <c r="AQ46" i="1"/>
  <c r="AP46" i="1"/>
  <c r="AO46" i="1"/>
  <c r="AN46" i="1"/>
  <c r="AM46" i="1"/>
  <c r="AJ46" i="1"/>
  <c r="AG46" i="1"/>
  <c r="AF46" i="1"/>
  <c r="AD46" i="1"/>
  <c r="AC46" i="1"/>
  <c r="AB46" i="1"/>
  <c r="AA46" i="1"/>
  <c r="Z46" i="1"/>
  <c r="Y46" i="1"/>
  <c r="V46" i="1"/>
  <c r="S46" i="1"/>
  <c r="R46" i="1"/>
  <c r="P46" i="1"/>
  <c r="O46" i="1"/>
  <c r="N46" i="1"/>
  <c r="M46" i="1"/>
  <c r="L46" i="1"/>
  <c r="K46" i="1"/>
  <c r="H46" i="1"/>
  <c r="E46" i="1"/>
  <c r="D46" i="1"/>
  <c r="BO45" i="1"/>
  <c r="BN45" i="1"/>
  <c r="BN46" i="1" s="1"/>
  <c r="BM45" i="1"/>
  <c r="BM46" i="1" s="1"/>
  <c r="BL45" i="1"/>
  <c r="BK45" i="1"/>
  <c r="BK46" i="1" s="1"/>
  <c r="BJ45" i="1"/>
  <c r="BJ46" i="1" s="1"/>
  <c r="BI45" i="1"/>
  <c r="BH45" i="1"/>
  <c r="BG45" i="1"/>
  <c r="BG46" i="1" s="1"/>
  <c r="BF45" i="1"/>
  <c r="BE45" i="1"/>
  <c r="BD45" i="1"/>
  <c r="BC45" i="1"/>
  <c r="BB45" i="1"/>
  <c r="BA45" i="1"/>
  <c r="AZ45" i="1"/>
  <c r="AZ46" i="1" s="1"/>
  <c r="AY45" i="1"/>
  <c r="AY46" i="1" s="1"/>
  <c r="AX45" i="1"/>
  <c r="AW45" i="1"/>
  <c r="AW46" i="1" s="1"/>
  <c r="AV45" i="1"/>
  <c r="AV46" i="1" s="1"/>
  <c r="AU45" i="1"/>
  <c r="AT45" i="1"/>
  <c r="AS45" i="1"/>
  <c r="AS46" i="1" s="1"/>
  <c r="AR45" i="1"/>
  <c r="AQ45" i="1"/>
  <c r="AP45" i="1"/>
  <c r="AO45" i="1"/>
  <c r="AN45" i="1"/>
  <c r="AM45" i="1"/>
  <c r="AL45" i="1"/>
  <c r="AL46" i="1" s="1"/>
  <c r="AK45" i="1"/>
  <c r="AK46" i="1" s="1"/>
  <c r="AJ45" i="1"/>
  <c r="AI45" i="1"/>
  <c r="AI46" i="1" s="1"/>
  <c r="AH45" i="1"/>
  <c r="AH46" i="1" s="1"/>
  <c r="AG45" i="1"/>
  <c r="AF45" i="1"/>
  <c r="AE45" i="1"/>
  <c r="AE46" i="1" s="1"/>
  <c r="AD45" i="1"/>
  <c r="AC45" i="1"/>
  <c r="AB45" i="1"/>
  <c r="AA45" i="1"/>
  <c r="Z45" i="1"/>
  <c r="Y45" i="1"/>
  <c r="X45" i="1"/>
  <c r="X46" i="1" s="1"/>
  <c r="W45" i="1"/>
  <c r="W46" i="1" s="1"/>
  <c r="V45" i="1"/>
  <c r="U45" i="1"/>
  <c r="U46" i="1" s="1"/>
  <c r="T45" i="1"/>
  <c r="T46" i="1" s="1"/>
  <c r="S45" i="1"/>
  <c r="R45" i="1"/>
  <c r="Q45" i="1"/>
  <c r="Q46" i="1" s="1"/>
  <c r="P45" i="1"/>
  <c r="O45" i="1"/>
  <c r="N45" i="1"/>
  <c r="M45" i="1"/>
  <c r="L45" i="1"/>
  <c r="K45" i="1"/>
  <c r="J45" i="1"/>
  <c r="J46" i="1" s="1"/>
  <c r="I45" i="1"/>
  <c r="I46" i="1" s="1"/>
  <c r="H45" i="1"/>
  <c r="G45" i="1"/>
  <c r="G46" i="1" s="1"/>
  <c r="F45" i="1"/>
  <c r="F46" i="1" s="1"/>
  <c r="E45" i="1"/>
  <c r="D45" i="1"/>
  <c r="C45" i="1"/>
  <c r="C46" i="1" s="1"/>
  <c r="BO43" i="1"/>
  <c r="BN43" i="1"/>
  <c r="BM43" i="1"/>
  <c r="BL43" i="1"/>
  <c r="BK43" i="1"/>
  <c r="BJ43" i="1"/>
  <c r="BI43" i="1"/>
  <c r="BH43" i="1"/>
  <c r="BG43" i="1"/>
  <c r="BF43" i="1"/>
  <c r="BE43" i="1"/>
  <c r="BD43" i="1"/>
  <c r="BC43" i="1"/>
  <c r="BB43" i="1"/>
  <c r="BA43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O42" i="1"/>
  <c r="BN42" i="1"/>
  <c r="BM42" i="1"/>
  <c r="BL42" i="1"/>
  <c r="BK42" i="1"/>
  <c r="BJ42" i="1"/>
  <c r="BI42" i="1"/>
  <c r="BH42" i="1"/>
  <c r="BG42" i="1"/>
  <c r="BF42" i="1"/>
  <c r="BE42" i="1"/>
  <c r="BD42" i="1"/>
  <c r="BC42" i="1"/>
  <c r="BB42" i="1"/>
  <c r="BA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O41" i="1"/>
  <c r="BN41" i="1"/>
  <c r="BM41" i="1"/>
  <c r="BL41" i="1"/>
  <c r="BK41" i="1"/>
  <c r="BJ41" i="1"/>
  <c r="BI41" i="1"/>
  <c r="BH41" i="1"/>
  <c r="BG41" i="1"/>
  <c r="BF41" i="1"/>
  <c r="BE41" i="1"/>
  <c r="BD41" i="1"/>
  <c r="BC41" i="1"/>
  <c r="BB41" i="1"/>
  <c r="BA41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O40" i="1"/>
  <c r="BN40" i="1"/>
  <c r="BM40" i="1"/>
  <c r="BL40" i="1"/>
  <c r="BK40" i="1"/>
  <c r="BJ40" i="1"/>
  <c r="BI40" i="1"/>
  <c r="BH40" i="1"/>
  <c r="BG40" i="1"/>
  <c r="BF40" i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</calcChain>
</file>

<file path=xl/sharedStrings.xml><?xml version="1.0" encoding="utf-8"?>
<sst xmlns="http://schemas.openxmlformats.org/spreadsheetml/2006/main" count="146" uniqueCount="146">
  <si>
    <t>Period code</t>
  </si>
  <si>
    <t>2632</t>
  </si>
  <si>
    <t>2631</t>
  </si>
  <si>
    <t>2623</t>
  </si>
  <si>
    <t>2622</t>
  </si>
  <si>
    <t>2621</t>
  </si>
  <si>
    <t>2613</t>
  </si>
  <si>
    <t>2612</t>
  </si>
  <si>
    <t>2611</t>
  </si>
  <si>
    <t>2543</t>
  </si>
  <si>
    <t>2542</t>
  </si>
  <si>
    <t>2541</t>
  </si>
  <si>
    <t>2533</t>
  </si>
  <si>
    <t>2532</t>
  </si>
  <si>
    <t>2531</t>
  </si>
  <si>
    <t>2523</t>
  </si>
  <si>
    <t>2522</t>
  </si>
  <si>
    <t>2521</t>
  </si>
  <si>
    <t>2513</t>
  </si>
  <si>
    <t>2512</t>
  </si>
  <si>
    <t>2511</t>
  </si>
  <si>
    <t>2443</t>
  </si>
  <si>
    <t>2442</t>
  </si>
  <si>
    <t>2441</t>
  </si>
  <si>
    <t>2433</t>
  </si>
  <si>
    <t>2432</t>
  </si>
  <si>
    <t>2431</t>
  </si>
  <si>
    <t>2423</t>
  </si>
  <si>
    <t>2422</t>
  </si>
  <si>
    <t>2421</t>
  </si>
  <si>
    <t>2413</t>
  </si>
  <si>
    <t>2411</t>
  </si>
  <si>
    <t>2343</t>
  </si>
  <si>
    <t>2342</t>
  </si>
  <si>
    <t>2341</t>
  </si>
  <si>
    <t>2333</t>
  </si>
  <si>
    <t>2332</t>
  </si>
  <si>
    <t>2331</t>
  </si>
  <si>
    <t>2323</t>
  </si>
  <si>
    <t>2322</t>
  </si>
  <si>
    <t>2321</t>
  </si>
  <si>
    <t>2313</t>
  </si>
  <si>
    <t>2312</t>
  </si>
  <si>
    <t>2311</t>
  </si>
  <si>
    <t>2243</t>
  </si>
  <si>
    <t>2241</t>
  </si>
  <si>
    <t>2232</t>
  </si>
  <si>
    <t>2223</t>
  </si>
  <si>
    <t>2222</t>
  </si>
  <si>
    <t>2213</t>
  </si>
  <si>
    <t>2212</t>
  </si>
  <si>
    <t>2211</t>
  </si>
  <si>
    <t>2143</t>
  </si>
  <si>
    <t>2142</t>
  </si>
  <si>
    <t>2141</t>
  </si>
  <si>
    <t>2133</t>
  </si>
  <si>
    <t>2132</t>
  </si>
  <si>
    <t>2131</t>
  </si>
  <si>
    <t>2123</t>
  </si>
  <si>
    <t>2122</t>
  </si>
  <si>
    <t>2121</t>
  </si>
  <si>
    <t>2113</t>
  </si>
  <si>
    <t>2043</t>
  </si>
  <si>
    <t>2042</t>
  </si>
  <si>
    <t>2041</t>
  </si>
  <si>
    <t>2011</t>
  </si>
  <si>
    <t>Taxable period</t>
  </si>
  <si>
    <t>Date of submission (per IRD acknowledgement)</t>
  </si>
  <si>
    <t>Output tax and supplies</t>
  </si>
  <si>
    <t>Taxable supplies - value</t>
  </si>
  <si>
    <t>A</t>
  </si>
  <si>
    <t>Taxable supplies - tax</t>
  </si>
  <si>
    <t>0</t>
  </si>
  <si>
    <t>Wholesale and retail taxable supplies [format A/B only]</t>
  </si>
  <si>
    <t>B / 2</t>
  </si>
  <si>
    <t>VAT suspended taxable supplies [format A/B only]</t>
  </si>
  <si>
    <t>C / 2A</t>
  </si>
  <si>
    <t>Total output tax</t>
  </si>
  <si>
    <t>3</t>
  </si>
  <si>
    <t>Zero rated supplies_Goods</t>
  </si>
  <si>
    <t>D</t>
  </si>
  <si>
    <t>Zero rated supplies_Services</t>
  </si>
  <si>
    <t>D1</t>
  </si>
  <si>
    <t>Exempt supplies</t>
  </si>
  <si>
    <t>E</t>
  </si>
  <si>
    <t>Excluded supplies</t>
  </si>
  <si>
    <t>E1</t>
  </si>
  <si>
    <t>Input tax</t>
  </si>
  <si>
    <t>Imports_Value</t>
  </si>
  <si>
    <t>H</t>
  </si>
  <si>
    <t>Imports_Deferred tax</t>
  </si>
  <si>
    <t>4</t>
  </si>
  <si>
    <t>Imports_Upfront tax</t>
  </si>
  <si>
    <t>5</t>
  </si>
  <si>
    <t>Local purchases_Value</t>
  </si>
  <si>
    <t>I</t>
  </si>
  <si>
    <t>Local purchases_Tax</t>
  </si>
  <si>
    <t>6</t>
  </si>
  <si>
    <t>Total (4+5+6)</t>
  </si>
  <si>
    <t>7</t>
  </si>
  <si>
    <t>VAT suspended purchases_Value [format A/B only]</t>
  </si>
  <si>
    <t>J</t>
  </si>
  <si>
    <t>VAT suspended purchases_Suspended tax [format A/B only]</t>
  </si>
  <si>
    <t>K</t>
  </si>
  <si>
    <t>Imports on which VAT is not charged</t>
  </si>
  <si>
    <t>J2</t>
  </si>
  <si>
    <t>Disallowable input tax on imports, other purchases and adjustment</t>
  </si>
  <si>
    <t>8</t>
  </si>
  <si>
    <t>Disallowable input tax on suspended purchases [format A/B only]</t>
  </si>
  <si>
    <t>8A</t>
  </si>
  <si>
    <t>Allowable input tax excluding b/f amounts (7-8)</t>
  </si>
  <si>
    <t>9</t>
  </si>
  <si>
    <t>Brought forward input tax</t>
  </si>
  <si>
    <t>10</t>
  </si>
  <si>
    <t>Allowable input tax and tax payable / refundable</t>
  </si>
  <si>
    <t>Zero rated supplies/suspended supplies/Wholesale &amp; Retail/section 22(7)  [B: Cage 9*(C+D+D1)/(A+A1+A2+B+C+D+D1); C: Cage 9*(D+D1)/(A+A1+A2+D+D1)]</t>
  </si>
  <si>
    <t>11</t>
  </si>
  <si>
    <t>Not belongs to group A  [(9+10-11) or 100% of cage (0+1+1A+2); format C: (0+1+1A)]</t>
  </si>
  <si>
    <t>12</t>
  </si>
  <si>
    <t>Allowable input tax (11+12)</t>
  </si>
  <si>
    <t>13</t>
  </si>
  <si>
    <t>Unabsorbed excess input tax C/F (9+10-13)</t>
  </si>
  <si>
    <t>14</t>
  </si>
  <si>
    <t>Gross refund due  [format B: (13-3-8A) &gt; 0; format C: (13-3) &gt; 0]</t>
  </si>
  <si>
    <t>15</t>
  </si>
  <si>
    <t>Tax payable  [format B: (3-13+8A) &gt; 0; format C: (3-13) &gt; 0]</t>
  </si>
  <si>
    <t>16</t>
  </si>
  <si>
    <t>Monthly payments</t>
  </si>
  <si>
    <t>Q</t>
  </si>
  <si>
    <t>Tax credit based on SVAT credit voucher [format A/B only]</t>
  </si>
  <si>
    <t>R2</t>
  </si>
  <si>
    <t>Total credits  [B: Q+R+R1+R2+R3+S; C: Q+R+R1+S]</t>
  </si>
  <si>
    <t>17</t>
  </si>
  <si>
    <t>(Refund due) / tax payable (16-17-15)</t>
  </si>
  <si>
    <t>18</t>
  </si>
  <si>
    <t>Arithmetic checks on the return (should be nil)</t>
  </si>
  <si>
    <t>Cage 7 less (4+5+6)</t>
  </si>
  <si>
    <t>Cage 9 less (7-8)</t>
  </si>
  <si>
    <t>Cage 15 less (13-3-8A)</t>
  </si>
  <si>
    <t>Cage 18 less (16-17-15)</t>
  </si>
  <si>
    <t>Disallowed input tax - exempt ratio test</t>
  </si>
  <si>
    <t>Computed: cage 7 x E / (D+E)</t>
  </si>
  <si>
    <t>Cage 8 less computed</t>
  </si>
  <si>
    <t>Computed: K x E / (D+E)</t>
  </si>
  <si>
    <t>Cage 8A less computed</t>
  </si>
  <si>
    <t>Implied VAT rate on suspended purchases (K / 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</si>
</sst>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"/>
    <numFmt numFmtId="165" formatCode="_(* #,##0_);_(* \(#,##0\);_(* &quot;-&quot;??_);_(@_)"/>
    <numFmt numFmtId="166" formatCode="0.0%"/>
  </numFmts>
  <fonts count="3" x14ac:knownFonts="1">
    <font>
      <sz val="11"/>
      <color theme="1"/>
      <name val="Aptos Narrow"/>
      <family val="2"/>
      <scheme val="minor"/>
    </font>
    <font>
      <b/>
      <sz val="11"/>
      <name val="Aptos Narrow"/>
    </font>
    <font>
      <sz val="11"/>
      <color rgb="FF0000FF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3" borderId="0" xfId="0" applyFont="1" applyFill="1" applyAlignment="1">
      <alignment horizontal="center" vertical="center" wrapText="1"/>
    </xf>
    <xf numFmtId="17" fontId="1" fillId="3" borderId="0" xfId="0" applyNumberFormat="1" applyFont="1" applyFill="1" applyAlignment="1">
      <alignment horizontal="center" vertical="center" wrapText="1"/>
    </xf>
    <xf numFmtId="164" fontId="0" fillId="3" borderId="0" xfId="0" applyNumberForma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/>
    <xf numFmtId="165" fontId="2" fillId="0" borderId="1" xfId="0" applyNumberFormat="1" applyFon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43F88EA-76C5-4228-8011-2853126D972A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cf21f032-e34b-4d13-867c-995355f3093f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40F23-E3D3-497B-8C91-F94EA5AD094C}">
  <dimension ref="A1:BO49"/>
  <sheetViews>
    <sheetView tabSelected="1" workbookViewId="0">
      <pane xSplit="2" ySplit="3" topLeftCell="C5" activePane="bottomRight" state="frozen"/>
      <selection pane="topRight"/>
      <selection pane="bottomLeft" activeCell="A3" sqref="A3"/>
      <selection pane="bottomRight" activeCell="A50" sqref="A50:XFD76"/>
    </sheetView>
  </sheetViews>
  <sheetFormatPr defaultRowHeight="14.4" x14ac:dyDescent="0.3"/>
  <cols>
    <col min="1" max="1" width="62" customWidth="1"/>
    <col min="2" max="2" width="8" customWidth="1"/>
    <col min="3" max="67" width="16" customWidth="1"/>
  </cols>
  <sheetData>
    <row r="1" spans="1:67" x14ac:dyDescent="0.3">
      <c r="A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</row>
    <row r="2" spans="1:67" x14ac:dyDescent="0.3">
      <c r="A2" s="1" t="s">
        <v>66</v>
      </c>
      <c r="C2" s="3">
        <v>46235</v>
      </c>
      <c r="D2" s="3">
        <v>46204</v>
      </c>
      <c r="E2" s="3">
        <v>46174</v>
      </c>
      <c r="F2" s="3">
        <v>46143</v>
      </c>
      <c r="G2" s="3">
        <v>46113</v>
      </c>
      <c r="H2" s="3">
        <v>46082</v>
      </c>
      <c r="I2" s="3">
        <v>46054</v>
      </c>
      <c r="J2" s="3">
        <v>46023</v>
      </c>
      <c r="K2" s="3">
        <v>45992</v>
      </c>
      <c r="L2" s="3">
        <v>45962</v>
      </c>
      <c r="M2" s="3">
        <v>45931</v>
      </c>
      <c r="N2" s="3">
        <v>45901</v>
      </c>
      <c r="O2" s="3">
        <v>45870</v>
      </c>
      <c r="P2" s="3">
        <v>45839</v>
      </c>
      <c r="Q2" s="3">
        <v>45809</v>
      </c>
      <c r="R2" s="3">
        <v>45778</v>
      </c>
      <c r="S2" s="3">
        <v>45748</v>
      </c>
      <c r="T2" s="3">
        <v>45717</v>
      </c>
      <c r="U2" s="3">
        <v>45689</v>
      </c>
      <c r="V2" s="3">
        <v>45658</v>
      </c>
      <c r="W2" s="3">
        <v>45627</v>
      </c>
      <c r="X2" s="3">
        <v>45597</v>
      </c>
      <c r="Y2" s="3">
        <v>45566</v>
      </c>
      <c r="Z2" s="3">
        <v>45536</v>
      </c>
      <c r="AA2" s="3">
        <v>45505</v>
      </c>
      <c r="AB2" s="3">
        <v>45474</v>
      </c>
      <c r="AC2" s="3">
        <v>45444</v>
      </c>
      <c r="AD2" s="3">
        <v>45413</v>
      </c>
      <c r="AE2" s="3">
        <v>45383</v>
      </c>
      <c r="AF2" s="3">
        <v>45352</v>
      </c>
      <c r="AG2" s="3">
        <v>45292</v>
      </c>
      <c r="AH2" s="3">
        <v>45261</v>
      </c>
      <c r="AI2" s="3">
        <v>45231</v>
      </c>
      <c r="AJ2" s="3">
        <v>45200</v>
      </c>
      <c r="AK2" s="3">
        <v>45170</v>
      </c>
      <c r="AL2" s="3">
        <v>45139</v>
      </c>
      <c r="AM2" s="3">
        <v>45108</v>
      </c>
      <c r="AN2" s="3">
        <v>45078</v>
      </c>
      <c r="AO2" s="3">
        <v>45047</v>
      </c>
      <c r="AP2" s="3">
        <v>45017</v>
      </c>
      <c r="AQ2" s="3">
        <v>44986</v>
      </c>
      <c r="AR2" s="3">
        <v>44958</v>
      </c>
      <c r="AS2" s="3">
        <v>44927</v>
      </c>
      <c r="AT2" s="3">
        <v>44896</v>
      </c>
      <c r="AU2" s="3">
        <v>44835</v>
      </c>
      <c r="AV2" s="3">
        <v>44774</v>
      </c>
      <c r="AW2" s="3">
        <v>44713</v>
      </c>
      <c r="AX2" s="3">
        <v>44682</v>
      </c>
      <c r="AY2" s="3">
        <v>44621</v>
      </c>
      <c r="AZ2" s="3">
        <v>44593</v>
      </c>
      <c r="BA2" s="3">
        <v>44562</v>
      </c>
      <c r="BB2" s="3">
        <v>44531</v>
      </c>
      <c r="BC2" s="3">
        <v>44501</v>
      </c>
      <c r="BD2" s="3">
        <v>44470</v>
      </c>
      <c r="BE2" s="3">
        <v>44440</v>
      </c>
      <c r="BF2" s="3">
        <v>44409</v>
      </c>
      <c r="BG2" s="3">
        <v>44378</v>
      </c>
      <c r="BH2" s="3">
        <v>44348</v>
      </c>
      <c r="BI2" s="3">
        <v>44317</v>
      </c>
      <c r="BJ2" s="3">
        <v>44287</v>
      </c>
      <c r="BK2" s="3">
        <v>44256</v>
      </c>
      <c r="BL2" s="3">
        <v>44166</v>
      </c>
      <c r="BM2" s="3">
        <v>44136</v>
      </c>
      <c r="BN2" s="3">
        <v>44105</v>
      </c>
      <c r="BO2" s="3">
        <v>43831</v>
      </c>
    </row>
    <row r="3" spans="1:67" ht="30" customHeight="1" x14ac:dyDescent="0.3">
      <c r="A3" s="1" t="s">
        <v>67</v>
      </c>
      <c r="C3" s="4">
        <v>46295</v>
      </c>
      <c r="D3" s="4">
        <v>46265</v>
      </c>
      <c r="E3" s="5"/>
      <c r="F3" s="4">
        <v>46203</v>
      </c>
      <c r="G3" s="4">
        <v>46173</v>
      </c>
      <c r="H3" s="5"/>
      <c r="I3" s="4">
        <v>46112</v>
      </c>
      <c r="J3" s="4">
        <v>46081</v>
      </c>
      <c r="K3" s="4">
        <v>46052</v>
      </c>
      <c r="L3" s="4">
        <v>46022</v>
      </c>
      <c r="M3" s="4">
        <v>45990</v>
      </c>
      <c r="N3" s="4">
        <v>45960</v>
      </c>
      <c r="O3" s="4">
        <v>45930</v>
      </c>
      <c r="P3" s="5"/>
      <c r="Q3" s="4">
        <v>45869</v>
      </c>
      <c r="R3" s="4">
        <v>45838</v>
      </c>
      <c r="S3" s="4">
        <v>45808</v>
      </c>
      <c r="T3" s="4">
        <v>45779</v>
      </c>
      <c r="U3" s="4">
        <v>45747</v>
      </c>
      <c r="V3" s="4">
        <v>45716</v>
      </c>
      <c r="W3" s="4">
        <v>45688</v>
      </c>
      <c r="X3" s="4">
        <v>45657</v>
      </c>
      <c r="Y3" s="4">
        <v>45626</v>
      </c>
      <c r="Z3" s="4">
        <v>45596</v>
      </c>
      <c r="AA3" s="4">
        <v>45565</v>
      </c>
      <c r="AB3" s="4">
        <v>45535</v>
      </c>
      <c r="AC3" s="4">
        <v>45504</v>
      </c>
      <c r="AD3" s="4">
        <v>45473</v>
      </c>
      <c r="AE3" s="4">
        <v>45443</v>
      </c>
      <c r="AF3" s="5"/>
      <c r="AG3" s="4">
        <v>45351</v>
      </c>
      <c r="AH3" s="5"/>
      <c r="AI3" s="4">
        <v>45292</v>
      </c>
      <c r="AJ3" s="4">
        <v>45267</v>
      </c>
      <c r="AK3" s="4">
        <v>45230</v>
      </c>
      <c r="AL3" s="5"/>
      <c r="AM3" s="4">
        <v>45171</v>
      </c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</row>
    <row r="4" spans="1:67" x14ac:dyDescent="0.3">
      <c r="A4" s="6" t="s">
        <v>68</v>
      </c>
      <c r="B4" s="7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</row>
    <row r="5" spans="1:67" x14ac:dyDescent="0.3">
      <c r="A5" s="9" t="s">
        <v>69</v>
      </c>
      <c r="B5" s="10" t="s">
        <v>70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2">
        <v>0</v>
      </c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2">
        <v>0</v>
      </c>
      <c r="AF5" s="12">
        <v>0</v>
      </c>
      <c r="AG5" s="11"/>
      <c r="AH5" s="12">
        <v>0</v>
      </c>
      <c r="AI5" s="11"/>
      <c r="AJ5" s="11"/>
      <c r="AK5" s="11"/>
      <c r="AL5" s="12">
        <v>0</v>
      </c>
      <c r="AM5" s="11"/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1"/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  <c r="BK5" s="12">
        <v>0</v>
      </c>
      <c r="BL5" s="12">
        <v>0</v>
      </c>
      <c r="BM5" s="12">
        <v>0</v>
      </c>
      <c r="BN5" s="11"/>
      <c r="BO5" s="11"/>
    </row>
    <row r="6" spans="1:67" x14ac:dyDescent="0.3">
      <c r="A6" s="9" t="s">
        <v>71</v>
      </c>
      <c r="B6" s="10" t="s">
        <v>72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2">
        <v>0</v>
      </c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2">
        <v>0</v>
      </c>
      <c r="AF6" s="12">
        <v>0</v>
      </c>
      <c r="AG6" s="11"/>
      <c r="AH6" s="12">
        <v>0</v>
      </c>
      <c r="AI6" s="11"/>
      <c r="AJ6" s="11"/>
      <c r="AK6" s="11"/>
      <c r="AL6" s="12">
        <v>0</v>
      </c>
      <c r="AM6" s="11"/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1"/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  <c r="BK6" s="12">
        <v>0</v>
      </c>
      <c r="BL6" s="12">
        <v>0</v>
      </c>
      <c r="BM6" s="12">
        <v>0</v>
      </c>
      <c r="BN6" s="11"/>
      <c r="BO6" s="11"/>
    </row>
    <row r="7" spans="1:67" x14ac:dyDescent="0.3">
      <c r="A7" s="9" t="s">
        <v>73</v>
      </c>
      <c r="B7" s="10" t="s">
        <v>74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2">
        <v>0</v>
      </c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2">
        <v>0</v>
      </c>
      <c r="BL7" s="11"/>
      <c r="BM7" s="11"/>
      <c r="BN7" s="11"/>
      <c r="BO7" s="11"/>
    </row>
    <row r="8" spans="1:67" x14ac:dyDescent="0.3">
      <c r="A8" s="9" t="s">
        <v>75</v>
      </c>
      <c r="B8" s="10" t="s">
        <v>76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2">
        <v>0</v>
      </c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2">
        <v>0</v>
      </c>
      <c r="BL8" s="11"/>
      <c r="BM8" s="11"/>
      <c r="BN8" s="11"/>
      <c r="BO8" s="11"/>
    </row>
    <row r="9" spans="1:67" x14ac:dyDescent="0.3">
      <c r="A9" s="9" t="s">
        <v>77</v>
      </c>
      <c r="B9" s="10" t="s">
        <v>78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2">
        <v>0</v>
      </c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2">
        <v>0</v>
      </c>
      <c r="AF9" s="12">
        <v>0</v>
      </c>
      <c r="AG9" s="11"/>
      <c r="AH9" s="12">
        <v>0</v>
      </c>
      <c r="AI9" s="11"/>
      <c r="AJ9" s="11"/>
      <c r="AK9" s="11"/>
      <c r="AL9" s="12">
        <v>0</v>
      </c>
      <c r="AM9" s="11"/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1"/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0</v>
      </c>
      <c r="BB9" s="12">
        <v>0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  <c r="BK9" s="12">
        <v>0</v>
      </c>
      <c r="BL9" s="12">
        <v>0</v>
      </c>
      <c r="BM9" s="12">
        <v>0</v>
      </c>
      <c r="BN9" s="11"/>
      <c r="BO9" s="11"/>
    </row>
    <row r="10" spans="1:67" ht="28.8" customHeight="1" x14ac:dyDescent="0.3">
      <c r="A10" s="9" t="s">
        <v>79</v>
      </c>
      <c r="B10" s="10" t="s">
        <v>80</v>
      </c>
      <c r="C10" s="12">
        <v>60976633</v>
      </c>
      <c r="D10" s="12">
        <v>146625597</v>
      </c>
      <c r="E10" s="12">
        <v>85960228</v>
      </c>
      <c r="F10" s="12">
        <v>60259839</v>
      </c>
      <c r="G10" s="12">
        <v>36850121</v>
      </c>
      <c r="H10" s="12">
        <v>67011917</v>
      </c>
      <c r="I10" s="12">
        <v>65112078</v>
      </c>
      <c r="J10" s="12">
        <v>170166413</v>
      </c>
      <c r="K10" s="12">
        <v>116153664</v>
      </c>
      <c r="L10" s="12">
        <v>119386978</v>
      </c>
      <c r="M10" s="12">
        <v>127464411</v>
      </c>
      <c r="N10" s="12">
        <v>98996273</v>
      </c>
      <c r="O10" s="12">
        <v>150200046</v>
      </c>
      <c r="P10" s="12">
        <v>150462098</v>
      </c>
      <c r="Q10" s="12">
        <v>82609889</v>
      </c>
      <c r="R10" s="12">
        <v>162282011</v>
      </c>
      <c r="S10" s="12">
        <v>39856471</v>
      </c>
      <c r="T10" s="12">
        <v>170590414</v>
      </c>
      <c r="U10" s="12">
        <v>88221452</v>
      </c>
      <c r="V10" s="12">
        <v>65061758</v>
      </c>
      <c r="W10" s="12">
        <v>55617557</v>
      </c>
      <c r="X10" s="12">
        <v>168327805</v>
      </c>
      <c r="Y10" s="12">
        <v>57527499</v>
      </c>
      <c r="Z10" s="12">
        <v>108943278</v>
      </c>
      <c r="AA10" s="12">
        <v>128088004</v>
      </c>
      <c r="AB10" s="12">
        <v>256015257</v>
      </c>
      <c r="AC10" s="12">
        <v>94110576</v>
      </c>
      <c r="AD10" s="12">
        <v>174738706</v>
      </c>
      <c r="AE10" s="12">
        <v>83191475</v>
      </c>
      <c r="AF10" s="12">
        <v>135280702</v>
      </c>
      <c r="AG10" s="12">
        <v>76194846</v>
      </c>
      <c r="AH10" s="12">
        <v>164491222</v>
      </c>
      <c r="AI10" s="12">
        <v>55641653</v>
      </c>
      <c r="AJ10" s="12">
        <v>149673759</v>
      </c>
      <c r="AK10" s="12">
        <v>148320731</v>
      </c>
      <c r="AL10" s="12">
        <v>93572598</v>
      </c>
      <c r="AM10" s="12">
        <v>95030712</v>
      </c>
      <c r="AN10" s="12">
        <v>83157704</v>
      </c>
      <c r="AO10" s="12">
        <v>59999819</v>
      </c>
      <c r="AP10" s="12">
        <v>117970832</v>
      </c>
      <c r="AQ10" s="12">
        <v>329555949</v>
      </c>
      <c r="AR10" s="12">
        <v>325901853</v>
      </c>
      <c r="AS10" s="12">
        <v>46766327</v>
      </c>
      <c r="AT10" s="12">
        <v>155099144</v>
      </c>
      <c r="AU10" s="12">
        <v>103983858</v>
      </c>
      <c r="AV10" s="12">
        <v>449967671</v>
      </c>
      <c r="AW10" s="12">
        <v>81688676</v>
      </c>
      <c r="AX10" s="12">
        <v>28353851</v>
      </c>
      <c r="AY10" s="12">
        <v>13286447</v>
      </c>
      <c r="AZ10" s="12">
        <v>24785961</v>
      </c>
      <c r="BA10" s="12">
        <v>949062</v>
      </c>
      <c r="BB10" s="12">
        <v>58397072</v>
      </c>
      <c r="BC10" s="12">
        <v>1566342</v>
      </c>
      <c r="BD10" s="12">
        <v>42094629</v>
      </c>
      <c r="BE10" s="12">
        <v>444240</v>
      </c>
      <c r="BF10" s="12">
        <v>28441088</v>
      </c>
      <c r="BG10" s="12">
        <v>36563906</v>
      </c>
      <c r="BH10" s="12">
        <v>34477024</v>
      </c>
      <c r="BI10" s="12">
        <v>24849540</v>
      </c>
      <c r="BJ10" s="12">
        <v>781163</v>
      </c>
      <c r="BK10" s="12">
        <v>1284042</v>
      </c>
      <c r="BL10" s="12">
        <v>23600656</v>
      </c>
      <c r="BM10" s="12">
        <v>749823</v>
      </c>
      <c r="BN10" s="12">
        <v>3452573</v>
      </c>
      <c r="BO10" s="12">
        <v>1295000</v>
      </c>
    </row>
    <row r="11" spans="1:67" x14ac:dyDescent="0.3">
      <c r="A11" s="9" t="s">
        <v>81</v>
      </c>
      <c r="B11" s="10" t="s">
        <v>82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2">
        <v>0</v>
      </c>
      <c r="BL11" s="11"/>
      <c r="BM11" s="11"/>
      <c r="BN11" s="11"/>
      <c r="BO11" s="11"/>
    </row>
    <row r="12" spans="1:67" x14ac:dyDescent="0.3">
      <c r="A12" s="9" t="s">
        <v>83</v>
      </c>
      <c r="B12" s="10" t="s">
        <v>84</v>
      </c>
      <c r="C12" s="12">
        <v>10162699</v>
      </c>
      <c r="D12" s="12">
        <v>9006627</v>
      </c>
      <c r="E12" s="12">
        <v>5513389</v>
      </c>
      <c r="F12" s="12">
        <v>5760465</v>
      </c>
      <c r="G12" s="12">
        <v>6864429</v>
      </c>
      <c r="H12" s="12">
        <v>5049541</v>
      </c>
      <c r="I12" s="12">
        <v>5959815</v>
      </c>
      <c r="J12" s="12">
        <v>31158085</v>
      </c>
      <c r="K12" s="12">
        <v>3245669</v>
      </c>
      <c r="L12" s="12">
        <v>9984896</v>
      </c>
      <c r="M12" s="12">
        <v>10484881</v>
      </c>
      <c r="N12" s="12">
        <v>8364177</v>
      </c>
      <c r="O12" s="12">
        <v>6114241</v>
      </c>
      <c r="P12" s="12">
        <v>5728335</v>
      </c>
      <c r="Q12" s="12">
        <v>697853</v>
      </c>
      <c r="R12" s="12">
        <v>8712205</v>
      </c>
      <c r="S12" s="12">
        <v>10336723</v>
      </c>
      <c r="T12" s="12">
        <v>13408945</v>
      </c>
      <c r="U12" s="12">
        <v>34722587</v>
      </c>
      <c r="V12" s="12">
        <v>631576</v>
      </c>
      <c r="W12" s="12">
        <v>2541863</v>
      </c>
      <c r="X12" s="12">
        <v>3862380</v>
      </c>
      <c r="Y12" s="12">
        <v>2561624</v>
      </c>
      <c r="Z12" s="12">
        <v>6842196</v>
      </c>
      <c r="AA12" s="12">
        <v>12560658</v>
      </c>
      <c r="AB12" s="12">
        <v>10923855</v>
      </c>
      <c r="AC12" s="12">
        <v>8389518</v>
      </c>
      <c r="AD12" s="12">
        <v>9358865</v>
      </c>
      <c r="AE12" s="12">
        <v>13780245</v>
      </c>
      <c r="AF12" s="12">
        <v>10978634</v>
      </c>
      <c r="AG12" s="12">
        <v>14121924</v>
      </c>
      <c r="AH12" s="12">
        <v>18614706</v>
      </c>
      <c r="AI12" s="12">
        <v>10482522</v>
      </c>
      <c r="AJ12" s="12">
        <v>9265484</v>
      </c>
      <c r="AK12" s="12">
        <v>8138266</v>
      </c>
      <c r="AL12" s="12">
        <v>12330857</v>
      </c>
      <c r="AM12" s="12">
        <v>12480354</v>
      </c>
      <c r="AN12" s="12">
        <v>9938596</v>
      </c>
      <c r="AO12" s="12">
        <v>9352153</v>
      </c>
      <c r="AP12" s="12">
        <v>8916479</v>
      </c>
      <c r="AQ12" s="12">
        <v>9024187</v>
      </c>
      <c r="AR12" s="12">
        <v>23939428</v>
      </c>
      <c r="AS12" s="12">
        <v>14438241</v>
      </c>
      <c r="AT12" s="12">
        <v>14326680</v>
      </c>
      <c r="AU12" s="12">
        <v>14960956</v>
      </c>
      <c r="AV12" s="12">
        <v>17617970</v>
      </c>
      <c r="AW12" s="12">
        <v>14593226</v>
      </c>
      <c r="AX12" s="12">
        <v>8801487</v>
      </c>
      <c r="AY12" s="12">
        <v>26740024</v>
      </c>
      <c r="AZ12" s="12">
        <v>34200286</v>
      </c>
      <c r="BA12" s="12">
        <v>10501460</v>
      </c>
      <c r="BB12" s="12">
        <v>14205159</v>
      </c>
      <c r="BC12" s="12">
        <v>5476771</v>
      </c>
      <c r="BD12" s="12">
        <v>10072367</v>
      </c>
      <c r="BE12" s="12">
        <v>4513962</v>
      </c>
      <c r="BF12" s="12">
        <v>33591031</v>
      </c>
      <c r="BG12" s="12">
        <v>4571959</v>
      </c>
      <c r="BH12" s="12">
        <v>3730387</v>
      </c>
      <c r="BI12" s="12">
        <v>3869031</v>
      </c>
      <c r="BJ12" s="12">
        <v>6288339</v>
      </c>
      <c r="BK12" s="12">
        <v>7024703</v>
      </c>
      <c r="BL12" s="12">
        <v>5923563</v>
      </c>
      <c r="BM12" s="12">
        <v>6456205</v>
      </c>
      <c r="BN12" s="12">
        <v>4551247</v>
      </c>
      <c r="BO12" s="12">
        <v>8894288</v>
      </c>
    </row>
    <row r="13" spans="1:67" x14ac:dyDescent="0.3">
      <c r="A13" s="9" t="s">
        <v>85</v>
      </c>
      <c r="B13" s="10" t="s">
        <v>86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2">
        <v>0</v>
      </c>
      <c r="BL13" s="11"/>
      <c r="BM13" s="11"/>
      <c r="BN13" s="11"/>
      <c r="BO13" s="11"/>
    </row>
    <row r="14" spans="1:67" x14ac:dyDescent="0.3">
      <c r="A14" s="6" t="s">
        <v>87</v>
      </c>
      <c r="B14" s="7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</row>
    <row r="15" spans="1:67" x14ac:dyDescent="0.3">
      <c r="A15" s="9" t="s">
        <v>88</v>
      </c>
      <c r="B15" s="10" t="s">
        <v>89</v>
      </c>
      <c r="C15" s="12">
        <v>72242911</v>
      </c>
      <c r="D15" s="12">
        <v>56954833</v>
      </c>
      <c r="E15" s="12">
        <v>8933211</v>
      </c>
      <c r="F15" s="12">
        <v>141269650</v>
      </c>
      <c r="G15" s="12">
        <v>36223106</v>
      </c>
      <c r="H15" s="12">
        <v>97651844</v>
      </c>
      <c r="I15" s="12">
        <v>44498672</v>
      </c>
      <c r="J15" s="12">
        <v>3673867</v>
      </c>
      <c r="K15" s="12">
        <v>117038944</v>
      </c>
      <c r="L15" s="12">
        <v>82134617</v>
      </c>
      <c r="M15" s="12">
        <v>70481094</v>
      </c>
      <c r="N15" s="12">
        <v>87474826</v>
      </c>
      <c r="O15" s="12">
        <v>151711233</v>
      </c>
      <c r="P15" s="12">
        <v>170232594</v>
      </c>
      <c r="Q15" s="12">
        <v>126519189</v>
      </c>
      <c r="R15" s="12">
        <v>83562600</v>
      </c>
      <c r="S15" s="12">
        <v>61468744</v>
      </c>
      <c r="T15" s="12">
        <v>181174111</v>
      </c>
      <c r="U15" s="12">
        <v>84407178</v>
      </c>
      <c r="V15" s="12">
        <v>244273744</v>
      </c>
      <c r="W15" s="12">
        <v>28085433</v>
      </c>
      <c r="X15" s="12">
        <v>113634772</v>
      </c>
      <c r="Y15" s="12">
        <v>56255739</v>
      </c>
      <c r="Z15" s="12">
        <v>148171272</v>
      </c>
      <c r="AA15" s="12">
        <v>212107011</v>
      </c>
      <c r="AB15" s="12">
        <v>1012050</v>
      </c>
      <c r="AC15" s="12">
        <v>114003733</v>
      </c>
      <c r="AD15" s="12">
        <v>93149606</v>
      </c>
      <c r="AE15" s="12">
        <v>23150694</v>
      </c>
      <c r="AF15" s="12">
        <v>220980828</v>
      </c>
      <c r="AG15" s="12">
        <v>4974872</v>
      </c>
      <c r="AH15" s="12">
        <v>249368053</v>
      </c>
      <c r="AI15" s="12">
        <v>57860600</v>
      </c>
      <c r="AJ15" s="12">
        <v>279358493</v>
      </c>
      <c r="AK15" s="12">
        <v>182736540</v>
      </c>
      <c r="AL15" s="12">
        <v>181658333</v>
      </c>
      <c r="AM15" s="12">
        <v>205145667</v>
      </c>
      <c r="AN15" s="12">
        <v>3564260</v>
      </c>
      <c r="AO15" s="12">
        <v>108839687</v>
      </c>
      <c r="AP15" s="12">
        <v>55035180</v>
      </c>
      <c r="AQ15" s="12">
        <v>213530280</v>
      </c>
      <c r="AR15" s="12">
        <v>16034867</v>
      </c>
      <c r="AS15" s="12">
        <v>283749033</v>
      </c>
      <c r="AT15" s="12">
        <v>136491240</v>
      </c>
      <c r="AU15" s="12">
        <v>56885213</v>
      </c>
      <c r="AV15" s="12">
        <v>328944033</v>
      </c>
      <c r="AW15" s="12">
        <v>253736525</v>
      </c>
      <c r="AX15" s="12">
        <v>12416388</v>
      </c>
      <c r="AY15" s="12">
        <v>77223888</v>
      </c>
      <c r="AZ15" s="12">
        <v>53846160</v>
      </c>
      <c r="BA15" s="12">
        <v>48632294</v>
      </c>
      <c r="BB15" s="12">
        <v>76000724</v>
      </c>
      <c r="BC15" s="12">
        <v>2236473</v>
      </c>
      <c r="BD15" s="12">
        <v>85023959</v>
      </c>
      <c r="BE15" s="12">
        <v>4330377</v>
      </c>
      <c r="BF15" s="12">
        <v>79632877</v>
      </c>
      <c r="BG15" s="12">
        <v>40643964</v>
      </c>
      <c r="BH15" s="12">
        <v>44220894</v>
      </c>
      <c r="BI15" s="12">
        <v>9398658</v>
      </c>
      <c r="BJ15" s="12">
        <v>25166760</v>
      </c>
      <c r="BK15" s="12">
        <v>27976909</v>
      </c>
      <c r="BL15" s="12">
        <v>55467763</v>
      </c>
      <c r="BM15" s="12">
        <v>54820138</v>
      </c>
      <c r="BN15" s="12">
        <v>17751925</v>
      </c>
      <c r="BO15" s="12">
        <v>6709438</v>
      </c>
    </row>
    <row r="16" spans="1:67" x14ac:dyDescent="0.3">
      <c r="A16" s="9" t="s">
        <v>90</v>
      </c>
      <c r="B16" s="10" t="s">
        <v>91</v>
      </c>
      <c r="C16" s="12">
        <v>12896924</v>
      </c>
      <c r="D16" s="12">
        <v>10196958</v>
      </c>
      <c r="E16" s="12">
        <v>1607978</v>
      </c>
      <c r="F16" s="12">
        <v>25428537</v>
      </c>
      <c r="G16" s="12">
        <v>6520159</v>
      </c>
      <c r="H16" s="12">
        <v>17443420</v>
      </c>
      <c r="I16" s="12">
        <v>8009761</v>
      </c>
      <c r="J16" s="12">
        <v>600250</v>
      </c>
      <c r="K16" s="12">
        <v>20994866</v>
      </c>
      <c r="L16" s="12">
        <v>14784231</v>
      </c>
      <c r="M16" s="12">
        <v>12686597</v>
      </c>
      <c r="N16" s="12">
        <v>17237062</v>
      </c>
      <c r="O16" s="12">
        <v>27308022</v>
      </c>
      <c r="P16" s="12">
        <v>30641867</v>
      </c>
      <c r="Q16" s="12">
        <v>22695658</v>
      </c>
      <c r="R16" s="12">
        <v>15041268</v>
      </c>
      <c r="S16" s="12">
        <v>10943193</v>
      </c>
      <c r="T16" s="12">
        <v>32611340</v>
      </c>
      <c r="U16" s="12">
        <v>9756861</v>
      </c>
      <c r="V16" s="12">
        <v>43937475</v>
      </c>
      <c r="W16" s="12">
        <v>5055378</v>
      </c>
      <c r="X16" s="12">
        <v>20454259</v>
      </c>
      <c r="Y16" s="12">
        <v>9990606</v>
      </c>
      <c r="Z16" s="12">
        <v>19308025</v>
      </c>
      <c r="AA16" s="12">
        <v>35072732</v>
      </c>
      <c r="AB16" s="12">
        <v>67993</v>
      </c>
      <c r="AC16" s="12">
        <v>18370615</v>
      </c>
      <c r="AD16" s="12">
        <v>15486034</v>
      </c>
      <c r="AE16" s="12">
        <v>3875818</v>
      </c>
      <c r="AF16" s="12">
        <v>37577275</v>
      </c>
      <c r="AG16" s="12">
        <v>418080</v>
      </c>
      <c r="AH16" s="12">
        <v>35400188</v>
      </c>
      <c r="AI16" s="12">
        <v>8679090</v>
      </c>
      <c r="AJ16" s="12">
        <v>41903774</v>
      </c>
      <c r="AK16" s="12">
        <v>27410481</v>
      </c>
      <c r="AL16" s="12">
        <v>27248750</v>
      </c>
      <c r="AM16" s="12">
        <v>30681444</v>
      </c>
      <c r="AN16" s="12">
        <v>534639</v>
      </c>
      <c r="AO16" s="12">
        <v>16161498</v>
      </c>
      <c r="AP16" s="12">
        <v>8255277</v>
      </c>
      <c r="AQ16" s="12">
        <v>32029542</v>
      </c>
      <c r="AR16" s="12">
        <v>2394163</v>
      </c>
      <c r="AS16" s="12">
        <v>40772911</v>
      </c>
      <c r="AT16" s="12">
        <v>20473686</v>
      </c>
      <c r="AU16" s="12">
        <v>8532782</v>
      </c>
      <c r="AV16" s="12">
        <v>33878901</v>
      </c>
      <c r="AW16" s="12">
        <v>30070547</v>
      </c>
      <c r="AX16" s="12">
        <v>993311</v>
      </c>
      <c r="AY16" s="12">
        <v>7697181</v>
      </c>
      <c r="AZ16" s="12">
        <v>5169232</v>
      </c>
      <c r="BA16" s="12">
        <v>4339062</v>
      </c>
      <c r="BB16" s="12">
        <v>7104405</v>
      </c>
      <c r="BC16" s="12">
        <v>136869</v>
      </c>
      <c r="BD16" s="12">
        <v>8162301</v>
      </c>
      <c r="BE16" s="12">
        <v>438226</v>
      </c>
      <c r="BF16" s="12">
        <v>7557989</v>
      </c>
      <c r="BG16" s="12">
        <v>3809047</v>
      </c>
      <c r="BH16" s="12">
        <v>4046623</v>
      </c>
      <c r="BI16" s="12">
        <v>165614</v>
      </c>
      <c r="BJ16" s="12">
        <v>2416010</v>
      </c>
      <c r="BK16" s="12">
        <v>2685785</v>
      </c>
      <c r="BL16" s="12">
        <v>4414060</v>
      </c>
      <c r="BM16" s="12">
        <v>4385611</v>
      </c>
      <c r="BN16" s="12">
        <v>1327616</v>
      </c>
      <c r="BO16" s="11"/>
    </row>
    <row r="17" spans="1:67" x14ac:dyDescent="0.3">
      <c r="A17" s="9" t="s">
        <v>92</v>
      </c>
      <c r="B17" s="10" t="s">
        <v>93</v>
      </c>
      <c r="C17" s="12">
        <v>106800</v>
      </c>
      <c r="D17" s="12">
        <v>54912</v>
      </c>
      <c r="E17" s="11"/>
      <c r="F17" s="11"/>
      <c r="G17" s="11"/>
      <c r="H17" s="12">
        <v>133912</v>
      </c>
      <c r="I17" s="11"/>
      <c r="J17" s="12">
        <v>61046</v>
      </c>
      <c r="K17" s="12">
        <v>72144</v>
      </c>
      <c r="L17" s="11"/>
      <c r="M17" s="11"/>
      <c r="N17" s="12">
        <v>200840</v>
      </c>
      <c r="O17" s="12">
        <v>29810</v>
      </c>
      <c r="P17" s="11"/>
      <c r="Q17" s="12">
        <v>77796</v>
      </c>
      <c r="R17" s="11"/>
      <c r="S17" s="12">
        <v>121181</v>
      </c>
      <c r="T17" s="12">
        <v>0</v>
      </c>
      <c r="U17" s="12">
        <v>5436431</v>
      </c>
      <c r="V17" s="12">
        <v>31799</v>
      </c>
      <c r="W17" s="12">
        <v>0</v>
      </c>
      <c r="X17" s="12">
        <v>0</v>
      </c>
      <c r="Y17" s="12">
        <v>135427</v>
      </c>
      <c r="Z17" s="12">
        <v>7362804</v>
      </c>
      <c r="AA17" s="12">
        <v>3106530</v>
      </c>
      <c r="AB17" s="12">
        <v>114176</v>
      </c>
      <c r="AC17" s="12">
        <v>2150057</v>
      </c>
      <c r="AD17" s="12">
        <v>1280895</v>
      </c>
      <c r="AE17" s="12">
        <v>291307</v>
      </c>
      <c r="AF17" s="12">
        <v>2199274</v>
      </c>
      <c r="AG17" s="12">
        <v>477397</v>
      </c>
      <c r="AH17" s="12">
        <v>2005020</v>
      </c>
      <c r="AI17" s="11"/>
      <c r="AJ17" s="12">
        <v>0</v>
      </c>
      <c r="AK17" s="12">
        <v>0</v>
      </c>
      <c r="AL17" s="12">
        <v>0</v>
      </c>
      <c r="AM17" s="12">
        <v>90406</v>
      </c>
      <c r="AN17" s="12">
        <v>0</v>
      </c>
      <c r="AO17" s="12">
        <v>164455</v>
      </c>
      <c r="AP17" s="12">
        <v>0</v>
      </c>
      <c r="AQ17" s="11"/>
      <c r="AR17" s="12">
        <v>11067</v>
      </c>
      <c r="AS17" s="12">
        <v>1789444</v>
      </c>
      <c r="AT17" s="11"/>
      <c r="AU17" s="11"/>
      <c r="AV17" s="12">
        <v>5594383</v>
      </c>
      <c r="AW17" s="12">
        <v>377836</v>
      </c>
      <c r="AX17" s="11"/>
      <c r="AY17" s="12">
        <v>0</v>
      </c>
      <c r="AZ17" s="12">
        <v>0</v>
      </c>
      <c r="BA17" s="12">
        <v>420151</v>
      </c>
      <c r="BB17" s="12">
        <v>267670</v>
      </c>
      <c r="BC17" s="12">
        <v>87563</v>
      </c>
      <c r="BD17" s="12">
        <v>0</v>
      </c>
      <c r="BE17" s="12">
        <v>7620</v>
      </c>
      <c r="BF17" s="12">
        <v>98085</v>
      </c>
      <c r="BG17" s="12">
        <v>123700</v>
      </c>
      <c r="BH17" s="12">
        <v>210695</v>
      </c>
      <c r="BI17" s="12">
        <v>746152</v>
      </c>
      <c r="BJ17" s="12">
        <v>0</v>
      </c>
      <c r="BK17" s="12">
        <v>0</v>
      </c>
      <c r="BL17" s="12">
        <v>23361</v>
      </c>
      <c r="BM17" s="12">
        <v>0</v>
      </c>
      <c r="BN17" s="12">
        <v>92538</v>
      </c>
      <c r="BO17" s="12">
        <v>536755</v>
      </c>
    </row>
    <row r="18" spans="1:67" x14ac:dyDescent="0.3">
      <c r="A18" s="9" t="s">
        <v>94</v>
      </c>
      <c r="B18" s="10" t="s">
        <v>95</v>
      </c>
      <c r="C18" s="12">
        <v>14298989</v>
      </c>
      <c r="D18" s="12">
        <v>12397163</v>
      </c>
      <c r="E18" s="12">
        <v>1361501</v>
      </c>
      <c r="F18" s="12">
        <v>26456997</v>
      </c>
      <c r="G18" s="12">
        <v>7700049</v>
      </c>
      <c r="H18" s="12">
        <v>7217538</v>
      </c>
      <c r="I18" s="12">
        <v>5558663</v>
      </c>
      <c r="J18" s="12">
        <v>3027685</v>
      </c>
      <c r="K18" s="12">
        <v>16154171</v>
      </c>
      <c r="L18" s="12">
        <v>8060066</v>
      </c>
      <c r="M18" s="12">
        <v>5655517</v>
      </c>
      <c r="N18" s="12">
        <v>7518424</v>
      </c>
      <c r="O18" s="12">
        <v>4718639</v>
      </c>
      <c r="P18" s="12">
        <v>6246253</v>
      </c>
      <c r="Q18" s="12">
        <v>245085</v>
      </c>
      <c r="R18" s="12">
        <v>6381014</v>
      </c>
      <c r="S18" s="12">
        <v>12528102</v>
      </c>
      <c r="T18" s="12">
        <v>14591240</v>
      </c>
      <c r="U18" s="11"/>
      <c r="V18" s="11"/>
      <c r="W18" s="11"/>
      <c r="X18" s="11"/>
      <c r="Y18" s="11"/>
      <c r="Z18" s="11"/>
      <c r="AA18" s="12">
        <v>2549930</v>
      </c>
      <c r="AB18" s="12">
        <v>569055</v>
      </c>
      <c r="AC18" s="11"/>
      <c r="AD18" s="11"/>
      <c r="AE18" s="12">
        <v>3057949</v>
      </c>
      <c r="AF18" s="11"/>
      <c r="AG18" s="11"/>
      <c r="AH18" s="12">
        <v>1020542</v>
      </c>
      <c r="AI18" s="11"/>
      <c r="AJ18" s="11"/>
      <c r="AK18" s="11"/>
      <c r="AL18" s="11"/>
      <c r="AM18" s="11"/>
      <c r="AN18" s="11"/>
      <c r="AO18" s="11"/>
      <c r="AP18" s="11"/>
      <c r="AQ18" s="12">
        <v>1541410</v>
      </c>
      <c r="AR18" s="12">
        <v>172674</v>
      </c>
      <c r="AS18" s="11"/>
      <c r="AT18" s="11"/>
      <c r="AU18" s="11"/>
      <c r="AV18" s="11"/>
      <c r="AW18" s="11"/>
      <c r="AX18" s="11"/>
      <c r="AY18" s="12">
        <v>117830</v>
      </c>
      <c r="AZ18" s="12">
        <v>36540</v>
      </c>
      <c r="BA18" s="12">
        <v>36540</v>
      </c>
      <c r="BB18" s="12">
        <v>85755</v>
      </c>
      <c r="BC18" s="12">
        <v>42630</v>
      </c>
      <c r="BD18" s="12">
        <v>0</v>
      </c>
      <c r="BE18" s="12">
        <v>34028</v>
      </c>
      <c r="BF18" s="12">
        <v>26790</v>
      </c>
      <c r="BG18" s="12">
        <v>274268</v>
      </c>
      <c r="BH18" s="12">
        <v>140383</v>
      </c>
      <c r="BI18" s="12">
        <v>45865</v>
      </c>
      <c r="BJ18" s="12">
        <v>17860</v>
      </c>
      <c r="BK18" s="12">
        <v>8930</v>
      </c>
      <c r="BL18" s="12">
        <v>537251</v>
      </c>
      <c r="BM18" s="12">
        <v>31255</v>
      </c>
      <c r="BN18" s="12">
        <v>185890</v>
      </c>
      <c r="BO18" s="12">
        <v>633558</v>
      </c>
    </row>
    <row r="19" spans="1:67" x14ac:dyDescent="0.3">
      <c r="A19" s="9" t="s">
        <v>96</v>
      </c>
      <c r="B19" s="10" t="s">
        <v>97</v>
      </c>
      <c r="C19" s="12">
        <v>2573818</v>
      </c>
      <c r="D19" s="12">
        <v>2231489</v>
      </c>
      <c r="E19" s="12">
        <v>245070</v>
      </c>
      <c r="F19" s="12">
        <v>4762259</v>
      </c>
      <c r="G19" s="12">
        <v>1386009</v>
      </c>
      <c r="H19" s="12">
        <v>1299157</v>
      </c>
      <c r="I19" s="12">
        <v>1000559</v>
      </c>
      <c r="J19" s="12">
        <v>544983</v>
      </c>
      <c r="K19" s="12">
        <v>2907751</v>
      </c>
      <c r="L19" s="12">
        <v>1450812</v>
      </c>
      <c r="M19" s="12">
        <v>1017993</v>
      </c>
      <c r="N19" s="12">
        <v>1353316</v>
      </c>
      <c r="O19" s="12">
        <v>849355</v>
      </c>
      <c r="P19" s="12">
        <v>1124325</v>
      </c>
      <c r="Q19" s="12">
        <v>44115</v>
      </c>
      <c r="R19" s="12">
        <v>1148583</v>
      </c>
      <c r="S19" s="12">
        <v>2255058</v>
      </c>
      <c r="T19" s="12">
        <v>2626423</v>
      </c>
      <c r="U19" s="11"/>
      <c r="V19" s="11"/>
      <c r="W19" s="11"/>
      <c r="X19" s="11"/>
      <c r="Y19" s="11"/>
      <c r="Z19" s="11"/>
      <c r="AA19" s="12">
        <v>458987</v>
      </c>
      <c r="AB19" s="12">
        <v>102430</v>
      </c>
      <c r="AC19" s="11"/>
      <c r="AD19" s="11"/>
      <c r="AE19" s="12">
        <v>550431</v>
      </c>
      <c r="AF19" s="11"/>
      <c r="AG19" s="11"/>
      <c r="AH19" s="12">
        <v>153081</v>
      </c>
      <c r="AI19" s="11"/>
      <c r="AJ19" s="11"/>
      <c r="AK19" s="11"/>
      <c r="AL19" s="11"/>
      <c r="AM19" s="11"/>
      <c r="AN19" s="11"/>
      <c r="AO19" s="11"/>
      <c r="AP19" s="11"/>
      <c r="AQ19" s="12">
        <v>231211</v>
      </c>
      <c r="AR19" s="12">
        <v>25901</v>
      </c>
      <c r="AS19" s="11"/>
      <c r="AT19" s="11"/>
      <c r="AU19" s="11"/>
      <c r="AV19" s="11"/>
      <c r="AW19" s="11"/>
      <c r="AX19" s="11"/>
      <c r="AY19" s="12">
        <v>9426</v>
      </c>
      <c r="AZ19" s="12">
        <v>2923</v>
      </c>
      <c r="BA19" s="12">
        <v>2923</v>
      </c>
      <c r="BB19" s="12">
        <v>6860</v>
      </c>
      <c r="BC19" s="12">
        <v>3410</v>
      </c>
      <c r="BD19" s="12">
        <v>0</v>
      </c>
      <c r="BE19" s="12">
        <v>2722</v>
      </c>
      <c r="BF19" s="12">
        <v>2143</v>
      </c>
      <c r="BG19" s="12">
        <v>21941</v>
      </c>
      <c r="BH19" s="12">
        <v>11231</v>
      </c>
      <c r="BI19" s="12">
        <v>3669</v>
      </c>
      <c r="BJ19" s="12">
        <v>1429</v>
      </c>
      <c r="BK19" s="12">
        <v>714</v>
      </c>
      <c r="BL19" s="12">
        <v>42980</v>
      </c>
      <c r="BM19" s="12">
        <v>2500</v>
      </c>
      <c r="BN19" s="12">
        <v>14871</v>
      </c>
      <c r="BO19" s="12">
        <v>50685</v>
      </c>
    </row>
    <row r="20" spans="1:67" x14ac:dyDescent="0.3">
      <c r="A20" s="9" t="s">
        <v>98</v>
      </c>
      <c r="B20" s="10" t="s">
        <v>99</v>
      </c>
      <c r="C20" s="12">
        <v>15577542</v>
      </c>
      <c r="D20" s="12">
        <v>12483359</v>
      </c>
      <c r="E20" s="12">
        <v>1853048</v>
      </c>
      <c r="F20" s="12">
        <v>30190796</v>
      </c>
      <c r="G20" s="12">
        <v>7906168</v>
      </c>
      <c r="H20" s="12">
        <v>18876489</v>
      </c>
      <c r="I20" s="12">
        <v>9010320</v>
      </c>
      <c r="J20" s="12">
        <v>1206279</v>
      </c>
      <c r="K20" s="12">
        <v>23974761</v>
      </c>
      <c r="L20" s="12">
        <v>16235043</v>
      </c>
      <c r="M20" s="12">
        <v>13704590</v>
      </c>
      <c r="N20" s="12">
        <v>18791218</v>
      </c>
      <c r="O20" s="12">
        <v>28187187</v>
      </c>
      <c r="P20" s="12">
        <v>31766192</v>
      </c>
      <c r="Q20" s="12">
        <v>22817569</v>
      </c>
      <c r="R20" s="12">
        <v>16189851</v>
      </c>
      <c r="S20" s="12">
        <v>13319432</v>
      </c>
      <c r="T20" s="12">
        <v>35237763</v>
      </c>
      <c r="U20" s="12">
        <v>15193292</v>
      </c>
      <c r="V20" s="12">
        <v>43969274</v>
      </c>
      <c r="W20" s="12">
        <v>5055378</v>
      </c>
      <c r="X20" s="12">
        <v>20454259</v>
      </c>
      <c r="Y20" s="12">
        <v>10126033</v>
      </c>
      <c r="Z20" s="12">
        <v>26670829</v>
      </c>
      <c r="AA20" s="12">
        <v>38638249</v>
      </c>
      <c r="AB20" s="12">
        <v>284599</v>
      </c>
      <c r="AC20" s="12">
        <v>20520672</v>
      </c>
      <c r="AD20" s="12">
        <v>16766929</v>
      </c>
      <c r="AE20" s="12">
        <v>4717556</v>
      </c>
      <c r="AF20" s="12">
        <v>39776549</v>
      </c>
      <c r="AG20" s="12">
        <v>895477</v>
      </c>
      <c r="AH20" s="12">
        <v>37558289</v>
      </c>
      <c r="AI20" s="12">
        <v>8679090</v>
      </c>
      <c r="AJ20" s="12">
        <v>41903774</v>
      </c>
      <c r="AK20" s="12">
        <v>27410481</v>
      </c>
      <c r="AL20" s="12">
        <v>27248750</v>
      </c>
      <c r="AM20" s="12">
        <v>30771850</v>
      </c>
      <c r="AN20" s="12">
        <v>534639</v>
      </c>
      <c r="AO20" s="12">
        <v>16325953</v>
      </c>
      <c r="AP20" s="12">
        <v>8255277</v>
      </c>
      <c r="AQ20" s="12">
        <v>32260753</v>
      </c>
      <c r="AR20" s="12">
        <v>2431131</v>
      </c>
      <c r="AS20" s="12">
        <v>42562355</v>
      </c>
      <c r="AT20" s="12">
        <v>20473686</v>
      </c>
      <c r="AU20" s="12">
        <v>8532782</v>
      </c>
      <c r="AV20" s="12">
        <v>39473284</v>
      </c>
      <c r="AW20" s="12">
        <v>30448383</v>
      </c>
      <c r="AX20" s="12">
        <v>993311</v>
      </c>
      <c r="AY20" s="12">
        <v>7706607</v>
      </c>
      <c r="AZ20" s="12">
        <v>5172155</v>
      </c>
      <c r="BA20" s="12">
        <v>4762136</v>
      </c>
      <c r="BB20" s="12">
        <v>7378935</v>
      </c>
      <c r="BC20" s="12">
        <v>227842</v>
      </c>
      <c r="BD20" s="12">
        <v>8162301</v>
      </c>
      <c r="BE20" s="12">
        <v>448568</v>
      </c>
      <c r="BF20" s="12">
        <v>7658217</v>
      </c>
      <c r="BG20" s="12">
        <v>3954688</v>
      </c>
      <c r="BH20" s="12">
        <v>4268549</v>
      </c>
      <c r="BI20" s="12">
        <v>915435</v>
      </c>
      <c r="BJ20" s="12">
        <v>2417439</v>
      </c>
      <c r="BK20" s="12">
        <v>2686499</v>
      </c>
      <c r="BL20" s="12">
        <v>4480401</v>
      </c>
      <c r="BM20" s="12">
        <v>4388111</v>
      </c>
      <c r="BN20" s="12">
        <v>1435025</v>
      </c>
      <c r="BO20" s="12">
        <v>587440</v>
      </c>
    </row>
    <row r="21" spans="1:67" x14ac:dyDescent="0.3">
      <c r="A21" s="9" t="s">
        <v>100</v>
      </c>
      <c r="B21" s="10" t="s">
        <v>101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2">
        <v>25159114</v>
      </c>
      <c r="O21" s="12">
        <v>13951500</v>
      </c>
      <c r="P21" s="12">
        <v>20986887</v>
      </c>
      <c r="Q21" s="12">
        <v>7829744</v>
      </c>
      <c r="R21" s="12">
        <v>11868591</v>
      </c>
      <c r="S21" s="12">
        <v>5191590</v>
      </c>
      <c r="T21" s="12">
        <v>23884419</v>
      </c>
      <c r="U21" s="12">
        <v>7072790</v>
      </c>
      <c r="V21" s="12">
        <v>9532156</v>
      </c>
      <c r="W21" s="12">
        <v>22823849</v>
      </c>
      <c r="X21" s="12">
        <v>9256072</v>
      </c>
      <c r="Y21" s="12">
        <v>7032317</v>
      </c>
      <c r="Z21" s="12">
        <v>31349019</v>
      </c>
      <c r="AA21" s="12">
        <v>6377889</v>
      </c>
      <c r="AB21" s="12">
        <v>25084629</v>
      </c>
      <c r="AC21" s="12">
        <v>18623505</v>
      </c>
      <c r="AD21" s="12">
        <v>9318358</v>
      </c>
      <c r="AE21" s="12">
        <v>9668494</v>
      </c>
      <c r="AF21" s="12">
        <v>25113712</v>
      </c>
      <c r="AG21" s="12">
        <v>13984094</v>
      </c>
      <c r="AH21" s="12">
        <v>33368228</v>
      </c>
      <c r="AI21" s="12">
        <v>6117842</v>
      </c>
      <c r="AJ21" s="12">
        <v>9369851</v>
      </c>
      <c r="AK21" s="12">
        <v>30740546</v>
      </c>
      <c r="AL21" s="12">
        <v>7643847</v>
      </c>
      <c r="AM21" s="12">
        <v>31786471</v>
      </c>
      <c r="AN21" s="12">
        <v>12233682</v>
      </c>
      <c r="AO21" s="12">
        <v>5651141</v>
      </c>
      <c r="AP21" s="12">
        <v>8264018</v>
      </c>
      <c r="AQ21" s="12">
        <v>32322592</v>
      </c>
      <c r="AR21" s="12">
        <v>12578618</v>
      </c>
      <c r="AS21" s="12">
        <v>16575728</v>
      </c>
      <c r="AT21" s="12">
        <v>23453565</v>
      </c>
      <c r="AU21" s="12">
        <v>14943335</v>
      </c>
      <c r="AV21" s="12">
        <v>13979103</v>
      </c>
      <c r="AW21" s="12">
        <v>3303165</v>
      </c>
      <c r="AX21" s="12">
        <v>4808602</v>
      </c>
      <c r="AY21" s="12">
        <v>15474475</v>
      </c>
      <c r="AZ21" s="12">
        <v>12845801</v>
      </c>
      <c r="BA21" s="12">
        <v>12311139</v>
      </c>
      <c r="BB21" s="12">
        <v>5263267</v>
      </c>
      <c r="BC21" s="12">
        <v>3627159</v>
      </c>
      <c r="BD21" s="12">
        <v>2960606</v>
      </c>
      <c r="BE21" s="12">
        <v>1848957</v>
      </c>
      <c r="BF21" s="12">
        <v>7598565</v>
      </c>
      <c r="BG21" s="12">
        <v>13146404</v>
      </c>
      <c r="BH21" s="12">
        <v>3767787</v>
      </c>
      <c r="BI21" s="12">
        <v>2705274</v>
      </c>
      <c r="BJ21" s="12">
        <v>9615808</v>
      </c>
      <c r="BK21" s="12">
        <v>1641587</v>
      </c>
      <c r="BL21" s="12">
        <v>3359211</v>
      </c>
      <c r="BM21" s="12">
        <v>3004689</v>
      </c>
      <c r="BN21" s="12">
        <v>2438071</v>
      </c>
      <c r="BO21" s="12">
        <v>1907109</v>
      </c>
    </row>
    <row r="22" spans="1:67" x14ac:dyDescent="0.3">
      <c r="A22" s="9" t="s">
        <v>102</v>
      </c>
      <c r="B22" s="10" t="s">
        <v>103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2">
        <v>4528641</v>
      </c>
      <c r="O22" s="12">
        <v>2511270</v>
      </c>
      <c r="P22" s="12">
        <v>3777640</v>
      </c>
      <c r="Q22" s="12">
        <v>1409354</v>
      </c>
      <c r="R22" s="12">
        <v>2136346</v>
      </c>
      <c r="S22" s="12">
        <v>934487</v>
      </c>
      <c r="T22" s="12">
        <v>4299195</v>
      </c>
      <c r="U22" s="12">
        <v>1273102</v>
      </c>
      <c r="V22" s="12">
        <v>1715788</v>
      </c>
      <c r="W22" s="12">
        <v>4108293</v>
      </c>
      <c r="X22" s="12">
        <v>1666093</v>
      </c>
      <c r="Y22" s="12">
        <v>1265817</v>
      </c>
      <c r="Z22" s="12">
        <v>5642823</v>
      </c>
      <c r="AA22" s="12">
        <v>1148020</v>
      </c>
      <c r="AB22" s="12">
        <v>4515233</v>
      </c>
      <c r="AC22" s="12">
        <v>3352231</v>
      </c>
      <c r="AD22" s="12">
        <v>1677304</v>
      </c>
      <c r="AE22" s="12">
        <v>1740329</v>
      </c>
      <c r="AF22" s="12">
        <v>4520468</v>
      </c>
      <c r="AG22" s="12">
        <v>2517137</v>
      </c>
      <c r="AH22" s="12">
        <v>5005234</v>
      </c>
      <c r="AI22" s="12">
        <v>917676</v>
      </c>
      <c r="AJ22" s="12">
        <v>1405478</v>
      </c>
      <c r="AK22" s="12">
        <v>4611082</v>
      </c>
      <c r="AL22" s="12">
        <v>1146577</v>
      </c>
      <c r="AM22" s="12">
        <v>4767971</v>
      </c>
      <c r="AN22" s="12">
        <v>1835052</v>
      </c>
      <c r="AO22" s="12">
        <v>847671</v>
      </c>
      <c r="AP22" s="12">
        <v>1239603</v>
      </c>
      <c r="AQ22" s="12">
        <v>4848389</v>
      </c>
      <c r="AR22" s="12">
        <v>1886793</v>
      </c>
      <c r="AS22" s="12">
        <v>2486359</v>
      </c>
      <c r="AT22" s="12">
        <v>3516633</v>
      </c>
      <c r="AU22" s="12">
        <v>2241501</v>
      </c>
      <c r="AV22" s="12">
        <v>1677492</v>
      </c>
      <c r="AW22" s="12">
        <v>396380</v>
      </c>
      <c r="AX22" s="12">
        <v>384688</v>
      </c>
      <c r="AY22" s="12">
        <v>1237958</v>
      </c>
      <c r="AZ22" s="12">
        <v>1027664</v>
      </c>
      <c r="BA22" s="12">
        <v>984891</v>
      </c>
      <c r="BB22" s="12">
        <v>421061</v>
      </c>
      <c r="BC22" s="12">
        <v>290173</v>
      </c>
      <c r="BD22" s="12">
        <v>236847</v>
      </c>
      <c r="BE22" s="12">
        <v>147917</v>
      </c>
      <c r="BF22" s="12">
        <v>607885</v>
      </c>
      <c r="BG22" s="12">
        <v>1051712</v>
      </c>
      <c r="BH22" s="12">
        <v>301423</v>
      </c>
      <c r="BI22" s="12">
        <v>216422</v>
      </c>
      <c r="BJ22" s="12">
        <v>769265</v>
      </c>
      <c r="BK22" s="12">
        <v>131327</v>
      </c>
      <c r="BL22" s="12">
        <v>268737</v>
      </c>
      <c r="BM22" s="12">
        <v>240375</v>
      </c>
      <c r="BN22" s="12">
        <v>195046</v>
      </c>
      <c r="BO22" s="12">
        <v>152569</v>
      </c>
    </row>
    <row r="23" spans="1:67" x14ac:dyDescent="0.3">
      <c r="A23" s="9" t="s">
        <v>104</v>
      </c>
      <c r="B23" s="10" t="s">
        <v>105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2">
        <v>678715</v>
      </c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2">
        <v>0</v>
      </c>
      <c r="BL23" s="11"/>
      <c r="BM23" s="11"/>
      <c r="BN23" s="11"/>
      <c r="BO23" s="11"/>
    </row>
    <row r="24" spans="1:67" x14ac:dyDescent="0.3">
      <c r="A24" s="9" t="s">
        <v>106</v>
      </c>
      <c r="B24" s="10" t="s">
        <v>107</v>
      </c>
      <c r="C24" s="12">
        <v>2225349</v>
      </c>
      <c r="D24" s="12">
        <v>722427</v>
      </c>
      <c r="E24" s="12">
        <v>111689</v>
      </c>
      <c r="F24" s="12">
        <v>2634235</v>
      </c>
      <c r="G24" s="12">
        <v>1241493</v>
      </c>
      <c r="H24" s="12">
        <v>1322726</v>
      </c>
      <c r="I24" s="12">
        <v>755571</v>
      </c>
      <c r="J24" s="12">
        <v>186690</v>
      </c>
      <c r="K24" s="12">
        <v>651713</v>
      </c>
      <c r="L24" s="12">
        <v>1253017</v>
      </c>
      <c r="M24" s="12">
        <v>1041622</v>
      </c>
      <c r="N24" s="12">
        <v>1463976</v>
      </c>
      <c r="O24" s="12">
        <v>1102543</v>
      </c>
      <c r="P24" s="12">
        <v>1165036</v>
      </c>
      <c r="Q24" s="12">
        <v>191138</v>
      </c>
      <c r="R24" s="12">
        <v>824878</v>
      </c>
      <c r="S24" s="12">
        <v>2376239</v>
      </c>
      <c r="T24" s="12">
        <v>2567950</v>
      </c>
      <c r="U24" s="12">
        <v>4290980</v>
      </c>
      <c r="V24" s="12">
        <v>422721</v>
      </c>
      <c r="W24" s="12">
        <v>220946</v>
      </c>
      <c r="X24" s="12">
        <v>458807</v>
      </c>
      <c r="Y24" s="12">
        <v>431677</v>
      </c>
      <c r="Z24" s="12">
        <v>1576079</v>
      </c>
      <c r="AA24" s="12">
        <v>3450597</v>
      </c>
      <c r="AB24" s="12">
        <v>11647</v>
      </c>
      <c r="AC24" s="12">
        <v>1679594</v>
      </c>
      <c r="AD24" s="12">
        <v>852371</v>
      </c>
      <c r="AE24" s="12">
        <v>670392</v>
      </c>
      <c r="AF24" s="12">
        <v>2985739</v>
      </c>
      <c r="AG24" s="12">
        <v>140017</v>
      </c>
      <c r="AH24" s="12">
        <v>3818208</v>
      </c>
      <c r="AI24" s="12">
        <v>1375877</v>
      </c>
      <c r="AJ24" s="12">
        <v>2442812</v>
      </c>
      <c r="AK24" s="12">
        <v>1425765</v>
      </c>
      <c r="AL24" s="12">
        <v>3172705</v>
      </c>
      <c r="AM24" s="12">
        <v>3572131</v>
      </c>
      <c r="AN24" s="12">
        <v>57076</v>
      </c>
      <c r="AO24" s="12">
        <v>2201564</v>
      </c>
      <c r="AP24" s="12">
        <v>580105</v>
      </c>
      <c r="AQ24" s="12">
        <v>859847</v>
      </c>
      <c r="AR24" s="12">
        <v>166361</v>
      </c>
      <c r="AS24" s="12">
        <v>10040517</v>
      </c>
      <c r="AT24" s="12">
        <v>1903460</v>
      </c>
      <c r="AU24" s="12">
        <v>762239</v>
      </c>
      <c r="AV24" s="12">
        <v>3011344</v>
      </c>
      <c r="AW24" s="12">
        <v>4614992</v>
      </c>
      <c r="AX24" s="12">
        <v>205130</v>
      </c>
      <c r="AY24" s="12">
        <v>5148465</v>
      </c>
      <c r="AZ24" s="12">
        <v>2998821</v>
      </c>
      <c r="BA24" s="12">
        <v>4367433</v>
      </c>
      <c r="BB24" s="12">
        <v>1443743</v>
      </c>
      <c r="BC24" s="12">
        <v>177172</v>
      </c>
      <c r="BD24" s="12">
        <v>1576899</v>
      </c>
      <c r="BE24" s="12">
        <v>408378</v>
      </c>
      <c r="BF24" s="12">
        <v>4147003</v>
      </c>
      <c r="BG24" s="12">
        <v>363822</v>
      </c>
      <c r="BH24" s="12">
        <v>416760</v>
      </c>
      <c r="BI24" s="12">
        <v>123330</v>
      </c>
      <c r="BJ24" s="12">
        <v>2150318</v>
      </c>
      <c r="BK24" s="12">
        <v>1892870</v>
      </c>
      <c r="BL24" s="12">
        <v>898921</v>
      </c>
      <c r="BM24" s="12">
        <v>3931507</v>
      </c>
      <c r="BN24" s="12">
        <v>816004</v>
      </c>
      <c r="BO24" s="12">
        <v>512779</v>
      </c>
    </row>
    <row r="25" spans="1:67" x14ac:dyDescent="0.3">
      <c r="A25" s="9" t="s">
        <v>108</v>
      </c>
      <c r="B25" s="10" t="s">
        <v>109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2">
        <v>352815</v>
      </c>
      <c r="O25" s="11"/>
      <c r="P25" s="11"/>
      <c r="Q25" s="11"/>
      <c r="R25" s="11"/>
      <c r="S25" s="12">
        <v>0</v>
      </c>
      <c r="T25" s="12">
        <v>313304</v>
      </c>
      <c r="U25" s="12">
        <v>359557</v>
      </c>
      <c r="V25" s="12">
        <v>16496</v>
      </c>
      <c r="W25" s="12">
        <v>179553</v>
      </c>
      <c r="X25" s="12">
        <v>37372</v>
      </c>
      <c r="Y25" s="12">
        <v>53962</v>
      </c>
      <c r="Z25" s="12">
        <v>333456</v>
      </c>
      <c r="AA25" s="12">
        <v>102524</v>
      </c>
      <c r="AB25" s="12">
        <v>184775</v>
      </c>
      <c r="AC25" s="12">
        <v>274376</v>
      </c>
      <c r="AD25" s="12">
        <v>85268</v>
      </c>
      <c r="AE25" s="12">
        <v>169192</v>
      </c>
      <c r="AF25" s="12">
        <v>339319</v>
      </c>
      <c r="AG25" s="12">
        <v>205946</v>
      </c>
      <c r="AH25" s="12">
        <v>508836</v>
      </c>
      <c r="AI25" s="12">
        <v>145477</v>
      </c>
      <c r="AJ25" s="12">
        <v>81933</v>
      </c>
      <c r="AK25" s="12">
        <v>239847</v>
      </c>
      <c r="AL25" s="12">
        <v>133502</v>
      </c>
      <c r="AM25" s="12">
        <v>553487</v>
      </c>
      <c r="AN25" s="12">
        <v>195903</v>
      </c>
      <c r="AO25" s="12">
        <v>114309</v>
      </c>
      <c r="AP25" s="12">
        <v>87108</v>
      </c>
      <c r="AQ25" s="12">
        <v>129224</v>
      </c>
      <c r="AR25" s="12">
        <v>129112</v>
      </c>
      <c r="AS25" s="12">
        <v>586536</v>
      </c>
      <c r="AT25" s="12">
        <v>326945</v>
      </c>
      <c r="AU25" s="12">
        <v>200235</v>
      </c>
      <c r="AV25" s="12">
        <v>127973</v>
      </c>
      <c r="AW25" s="12">
        <v>60078</v>
      </c>
      <c r="AX25" s="12">
        <v>79443</v>
      </c>
      <c r="AY25" s="12">
        <v>0</v>
      </c>
      <c r="AZ25" s="12">
        <v>0</v>
      </c>
      <c r="BA25" s="12">
        <v>0</v>
      </c>
      <c r="BB25" s="12">
        <v>0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0</v>
      </c>
      <c r="BI25" s="12">
        <v>0</v>
      </c>
      <c r="BJ25" s="12">
        <v>0</v>
      </c>
      <c r="BK25" s="12">
        <v>0</v>
      </c>
      <c r="BL25" s="12">
        <v>0</v>
      </c>
      <c r="BM25" s="12">
        <v>0</v>
      </c>
      <c r="BN25" s="11"/>
      <c r="BO25" s="11"/>
    </row>
    <row r="26" spans="1:67" x14ac:dyDescent="0.3">
      <c r="A26" s="9" t="s">
        <v>110</v>
      </c>
      <c r="B26" s="10" t="s">
        <v>111</v>
      </c>
      <c r="C26" s="12">
        <v>13352193</v>
      </c>
      <c r="D26" s="12">
        <v>11760932</v>
      </c>
      <c r="E26" s="12">
        <v>1741359</v>
      </c>
      <c r="F26" s="12">
        <v>27556561</v>
      </c>
      <c r="G26" s="12">
        <v>6664675</v>
      </c>
      <c r="H26" s="12">
        <v>17553763</v>
      </c>
      <c r="I26" s="12">
        <v>8254749</v>
      </c>
      <c r="J26" s="12">
        <v>1019589</v>
      </c>
      <c r="K26" s="12">
        <v>23323048</v>
      </c>
      <c r="L26" s="12">
        <v>14982026</v>
      </c>
      <c r="M26" s="12">
        <v>12662968</v>
      </c>
      <c r="N26" s="12">
        <v>17327242</v>
      </c>
      <c r="O26" s="12">
        <v>27084644</v>
      </c>
      <c r="P26" s="12">
        <v>30601156</v>
      </c>
      <c r="Q26" s="12">
        <v>22626431</v>
      </c>
      <c r="R26" s="12">
        <v>15364973</v>
      </c>
      <c r="S26" s="12">
        <v>10943193</v>
      </c>
      <c r="T26" s="12">
        <v>32669813</v>
      </c>
      <c r="U26" s="12">
        <v>10902312</v>
      </c>
      <c r="V26" s="12">
        <v>43546553</v>
      </c>
      <c r="W26" s="12">
        <v>4834432</v>
      </c>
      <c r="X26" s="12">
        <v>19995452</v>
      </c>
      <c r="Y26" s="12">
        <v>9694356</v>
      </c>
      <c r="Z26" s="12">
        <v>25094750</v>
      </c>
      <c r="AA26" s="12">
        <v>35187652</v>
      </c>
      <c r="AB26" s="12">
        <v>272952</v>
      </c>
      <c r="AC26" s="12">
        <v>18841078</v>
      </c>
      <c r="AD26" s="12">
        <v>15914558</v>
      </c>
      <c r="AE26" s="12">
        <v>4047164</v>
      </c>
      <c r="AF26" s="12">
        <v>36790810</v>
      </c>
      <c r="AG26" s="12">
        <v>755460</v>
      </c>
      <c r="AH26" s="12">
        <v>33740081</v>
      </c>
      <c r="AI26" s="12">
        <v>7303213</v>
      </c>
      <c r="AJ26" s="12">
        <v>39460962</v>
      </c>
      <c r="AK26" s="12">
        <v>25984716</v>
      </c>
      <c r="AL26" s="12">
        <v>24076045</v>
      </c>
      <c r="AM26" s="12">
        <v>27199719</v>
      </c>
      <c r="AN26" s="12">
        <v>477563</v>
      </c>
      <c r="AO26" s="12">
        <v>14124389</v>
      </c>
      <c r="AP26" s="12">
        <v>7675172</v>
      </c>
      <c r="AQ26" s="12">
        <v>31400906</v>
      </c>
      <c r="AR26" s="12">
        <v>2264770</v>
      </c>
      <c r="AS26" s="12">
        <v>32521838</v>
      </c>
      <c r="AT26" s="12">
        <v>18570226</v>
      </c>
      <c r="AU26" s="12">
        <v>7770543</v>
      </c>
      <c r="AV26" s="12">
        <v>36461940</v>
      </c>
      <c r="AW26" s="12">
        <v>25833391</v>
      </c>
      <c r="AX26" s="12">
        <v>788181</v>
      </c>
      <c r="AY26" s="12">
        <v>2558142</v>
      </c>
      <c r="AZ26" s="12">
        <v>2173334</v>
      </c>
      <c r="BA26" s="12">
        <v>394703</v>
      </c>
      <c r="BB26" s="12">
        <v>5935192</v>
      </c>
      <c r="BC26" s="12">
        <v>50670</v>
      </c>
      <c r="BD26" s="12">
        <v>6585402</v>
      </c>
      <c r="BE26" s="12">
        <v>40190</v>
      </c>
      <c r="BF26" s="12">
        <v>3511214</v>
      </c>
      <c r="BG26" s="12">
        <v>3590866</v>
      </c>
      <c r="BH26" s="12">
        <v>3851789</v>
      </c>
      <c r="BI26" s="12">
        <v>792105</v>
      </c>
      <c r="BJ26" s="12">
        <v>267121</v>
      </c>
      <c r="BK26" s="12">
        <v>793629</v>
      </c>
      <c r="BL26" s="12">
        <v>3581480</v>
      </c>
      <c r="BM26" s="12">
        <v>456604</v>
      </c>
      <c r="BN26" s="12">
        <v>619021</v>
      </c>
      <c r="BO26" s="12">
        <v>74660</v>
      </c>
    </row>
    <row r="27" spans="1:67" x14ac:dyDescent="0.3">
      <c r="A27" s="9" t="s">
        <v>112</v>
      </c>
      <c r="B27" s="10" t="s">
        <v>113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2">
        <v>0</v>
      </c>
      <c r="S27" s="12">
        <v>0</v>
      </c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2">
        <v>0</v>
      </c>
      <c r="AF27" s="12">
        <v>0</v>
      </c>
      <c r="AG27" s="11"/>
      <c r="AH27" s="12">
        <v>0</v>
      </c>
      <c r="AI27" s="12">
        <v>0</v>
      </c>
      <c r="AJ27" s="11"/>
      <c r="AK27" s="12">
        <v>0</v>
      </c>
      <c r="AL27" s="12">
        <v>0</v>
      </c>
      <c r="AM27" s="11"/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1"/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  <c r="BK27" s="12">
        <v>0</v>
      </c>
      <c r="BL27" s="12">
        <v>0</v>
      </c>
      <c r="BM27" s="12">
        <v>0</v>
      </c>
      <c r="BN27" s="11"/>
      <c r="BO27" s="11"/>
    </row>
    <row r="28" spans="1:67" x14ac:dyDescent="0.3">
      <c r="A28" s="6" t="s">
        <v>114</v>
      </c>
      <c r="B28" s="7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</row>
    <row r="29" spans="1:67" ht="43.2" x14ac:dyDescent="0.3">
      <c r="A29" s="9" t="s">
        <v>115</v>
      </c>
      <c r="B29" s="10" t="s">
        <v>116</v>
      </c>
      <c r="C29" s="12">
        <v>13352193</v>
      </c>
      <c r="D29" s="12">
        <v>11760932</v>
      </c>
      <c r="E29" s="12">
        <v>1741359</v>
      </c>
      <c r="F29" s="12">
        <v>27556561</v>
      </c>
      <c r="G29" s="12">
        <v>6664675</v>
      </c>
      <c r="H29" s="12">
        <v>17553763</v>
      </c>
      <c r="I29" s="12">
        <v>8254749</v>
      </c>
      <c r="J29" s="12">
        <v>1019589</v>
      </c>
      <c r="K29" s="12">
        <v>23323048</v>
      </c>
      <c r="L29" s="12">
        <v>14982026</v>
      </c>
      <c r="M29" s="12">
        <v>12662968</v>
      </c>
      <c r="N29" s="12">
        <v>17327242</v>
      </c>
      <c r="O29" s="12">
        <v>27084644</v>
      </c>
      <c r="P29" s="12">
        <v>30601156</v>
      </c>
      <c r="Q29" s="12">
        <v>22626431</v>
      </c>
      <c r="R29" s="12">
        <v>15364973</v>
      </c>
      <c r="S29" s="12">
        <v>10943193</v>
      </c>
      <c r="T29" s="12">
        <v>32669813</v>
      </c>
      <c r="U29" s="12">
        <v>10902312</v>
      </c>
      <c r="V29" s="12">
        <v>43546553</v>
      </c>
      <c r="W29" s="12">
        <v>4834432</v>
      </c>
      <c r="X29" s="12">
        <v>19995452</v>
      </c>
      <c r="Y29" s="12">
        <v>9694356</v>
      </c>
      <c r="Z29" s="12">
        <v>25094750</v>
      </c>
      <c r="AA29" s="12">
        <v>35187652</v>
      </c>
      <c r="AB29" s="12">
        <v>272952</v>
      </c>
      <c r="AC29" s="12">
        <v>18841078</v>
      </c>
      <c r="AD29" s="12">
        <v>15914558</v>
      </c>
      <c r="AE29" s="12">
        <v>4047164</v>
      </c>
      <c r="AF29" s="12">
        <v>36790810</v>
      </c>
      <c r="AG29" s="12">
        <v>755460</v>
      </c>
      <c r="AH29" s="12">
        <v>33740081</v>
      </c>
      <c r="AI29" s="12">
        <v>7303213</v>
      </c>
      <c r="AJ29" s="12">
        <v>39460962</v>
      </c>
      <c r="AK29" s="12">
        <v>25984716</v>
      </c>
      <c r="AL29" s="12">
        <v>24076045</v>
      </c>
      <c r="AM29" s="12">
        <v>27199719</v>
      </c>
      <c r="AN29" s="12">
        <v>477563</v>
      </c>
      <c r="AO29" s="12">
        <v>14124389</v>
      </c>
      <c r="AP29" s="12">
        <v>7675172</v>
      </c>
      <c r="AQ29" s="12">
        <v>31400906</v>
      </c>
      <c r="AR29" s="12">
        <v>2264770</v>
      </c>
      <c r="AS29" s="12">
        <v>32521838</v>
      </c>
      <c r="AT29" s="12">
        <v>18570226</v>
      </c>
      <c r="AU29" s="12">
        <v>7770543</v>
      </c>
      <c r="AV29" s="12">
        <v>36461940</v>
      </c>
      <c r="AW29" s="12">
        <v>25833391</v>
      </c>
      <c r="AX29" s="12">
        <v>788181</v>
      </c>
      <c r="AY29" s="12">
        <v>2558142</v>
      </c>
      <c r="AZ29" s="12">
        <v>2173334</v>
      </c>
      <c r="BA29" s="12">
        <v>394703</v>
      </c>
      <c r="BB29" s="12">
        <v>5935192</v>
      </c>
      <c r="BC29" s="12">
        <v>50670</v>
      </c>
      <c r="BD29" s="12">
        <v>6585402</v>
      </c>
      <c r="BE29" s="12">
        <v>40190</v>
      </c>
      <c r="BF29" s="12">
        <v>3511214</v>
      </c>
      <c r="BG29" s="12">
        <v>3590866</v>
      </c>
      <c r="BH29" s="12">
        <v>3851789</v>
      </c>
      <c r="BI29" s="12">
        <v>792105</v>
      </c>
      <c r="BJ29" s="12">
        <v>267121</v>
      </c>
      <c r="BK29" s="12">
        <v>793629</v>
      </c>
      <c r="BL29" s="12">
        <v>3581480</v>
      </c>
      <c r="BM29" s="12">
        <v>456604</v>
      </c>
      <c r="BN29" s="12">
        <v>619021</v>
      </c>
      <c r="BO29" s="12">
        <v>74660</v>
      </c>
    </row>
    <row r="30" spans="1:67" ht="28.8" x14ac:dyDescent="0.3">
      <c r="A30" s="9" t="s">
        <v>117</v>
      </c>
      <c r="B30" s="10" t="s">
        <v>118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0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  <c r="BK30" s="12">
        <v>0</v>
      </c>
      <c r="BL30" s="12">
        <v>0</v>
      </c>
      <c r="BM30" s="12">
        <v>0</v>
      </c>
      <c r="BN30" s="11"/>
      <c r="BO30" s="11"/>
    </row>
    <row r="31" spans="1:67" x14ac:dyDescent="0.3">
      <c r="A31" s="9" t="s">
        <v>119</v>
      </c>
      <c r="B31" s="10" t="s">
        <v>120</v>
      </c>
      <c r="C31" s="12">
        <v>13352193</v>
      </c>
      <c r="D31" s="12">
        <v>11760932</v>
      </c>
      <c r="E31" s="12">
        <v>1741359</v>
      </c>
      <c r="F31" s="12">
        <v>27556561</v>
      </c>
      <c r="G31" s="12">
        <v>6664675</v>
      </c>
      <c r="H31" s="12">
        <v>17553763</v>
      </c>
      <c r="I31" s="12">
        <v>8254749</v>
      </c>
      <c r="J31" s="12">
        <v>1019589</v>
      </c>
      <c r="K31" s="12">
        <v>23323048</v>
      </c>
      <c r="L31" s="12">
        <v>14982026</v>
      </c>
      <c r="M31" s="12">
        <v>12662968</v>
      </c>
      <c r="N31" s="12">
        <v>17327242</v>
      </c>
      <c r="O31" s="12">
        <v>27084644</v>
      </c>
      <c r="P31" s="12">
        <v>30601156</v>
      </c>
      <c r="Q31" s="12">
        <v>22626431</v>
      </c>
      <c r="R31" s="12">
        <v>15364973</v>
      </c>
      <c r="S31" s="12">
        <v>10943193</v>
      </c>
      <c r="T31" s="12">
        <v>32669813</v>
      </c>
      <c r="U31" s="12">
        <v>10902312</v>
      </c>
      <c r="V31" s="12">
        <v>43546553</v>
      </c>
      <c r="W31" s="12">
        <v>4834432</v>
      </c>
      <c r="X31" s="12">
        <v>19995452</v>
      </c>
      <c r="Y31" s="12">
        <v>9694356</v>
      </c>
      <c r="Z31" s="12">
        <v>25094750</v>
      </c>
      <c r="AA31" s="12">
        <v>35187652</v>
      </c>
      <c r="AB31" s="12">
        <v>272952</v>
      </c>
      <c r="AC31" s="12">
        <v>18841078</v>
      </c>
      <c r="AD31" s="12">
        <v>15914558</v>
      </c>
      <c r="AE31" s="12">
        <v>4047164</v>
      </c>
      <c r="AF31" s="12">
        <v>36790810</v>
      </c>
      <c r="AG31" s="12">
        <v>755460</v>
      </c>
      <c r="AH31" s="12">
        <v>33740081</v>
      </c>
      <c r="AI31" s="12">
        <v>7303213</v>
      </c>
      <c r="AJ31" s="12">
        <v>39460962</v>
      </c>
      <c r="AK31" s="12">
        <v>25984716</v>
      </c>
      <c r="AL31" s="12">
        <v>24076045</v>
      </c>
      <c r="AM31" s="12">
        <v>27199719</v>
      </c>
      <c r="AN31" s="12">
        <v>477563</v>
      </c>
      <c r="AO31" s="12">
        <v>14124389</v>
      </c>
      <c r="AP31" s="12">
        <v>7675172</v>
      </c>
      <c r="AQ31" s="12">
        <v>31400906</v>
      </c>
      <c r="AR31" s="12">
        <v>2264770</v>
      </c>
      <c r="AS31" s="12">
        <v>32521838</v>
      </c>
      <c r="AT31" s="12">
        <v>18570226</v>
      </c>
      <c r="AU31" s="12">
        <v>7770543</v>
      </c>
      <c r="AV31" s="12">
        <v>36461940</v>
      </c>
      <c r="AW31" s="12">
        <v>25833391</v>
      </c>
      <c r="AX31" s="12">
        <v>788181</v>
      </c>
      <c r="AY31" s="12">
        <v>2558142</v>
      </c>
      <c r="AZ31" s="12">
        <v>2173334</v>
      </c>
      <c r="BA31" s="12">
        <v>394703</v>
      </c>
      <c r="BB31" s="12">
        <v>5935192</v>
      </c>
      <c r="BC31" s="12">
        <v>50670</v>
      </c>
      <c r="BD31" s="12">
        <v>6585402</v>
      </c>
      <c r="BE31" s="12">
        <v>40190</v>
      </c>
      <c r="BF31" s="12">
        <v>3511214</v>
      </c>
      <c r="BG31" s="12">
        <v>3590866</v>
      </c>
      <c r="BH31" s="12">
        <v>3851789</v>
      </c>
      <c r="BI31" s="12">
        <v>792105</v>
      </c>
      <c r="BJ31" s="12">
        <v>267121</v>
      </c>
      <c r="BK31" s="12">
        <v>793629</v>
      </c>
      <c r="BL31" s="12">
        <v>3581480</v>
      </c>
      <c r="BM31" s="12">
        <v>456604</v>
      </c>
      <c r="BN31" s="12">
        <v>619021</v>
      </c>
      <c r="BO31" s="12">
        <v>74660</v>
      </c>
    </row>
    <row r="32" spans="1:67" x14ac:dyDescent="0.3">
      <c r="A32" s="9" t="s">
        <v>121</v>
      </c>
      <c r="B32" s="10" t="s">
        <v>122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  <c r="BK32" s="12">
        <v>0</v>
      </c>
      <c r="BL32" s="12">
        <v>0</v>
      </c>
      <c r="BM32" s="12">
        <v>0</v>
      </c>
      <c r="BN32" s="11"/>
      <c r="BO32" s="11"/>
    </row>
    <row r="33" spans="1:67" x14ac:dyDescent="0.3">
      <c r="A33" s="9" t="s">
        <v>123</v>
      </c>
      <c r="B33" s="10" t="s">
        <v>124</v>
      </c>
      <c r="C33" s="12">
        <v>13352193</v>
      </c>
      <c r="D33" s="12">
        <v>11760932</v>
      </c>
      <c r="E33" s="12">
        <v>1741359</v>
      </c>
      <c r="F33" s="12">
        <v>27556561</v>
      </c>
      <c r="G33" s="12">
        <v>6664675</v>
      </c>
      <c r="H33" s="12">
        <v>17553763</v>
      </c>
      <c r="I33" s="12">
        <v>8254749</v>
      </c>
      <c r="J33" s="12">
        <v>1019589</v>
      </c>
      <c r="K33" s="12">
        <v>23323048</v>
      </c>
      <c r="L33" s="12">
        <v>14982026</v>
      </c>
      <c r="M33" s="12">
        <v>12662968</v>
      </c>
      <c r="N33" s="12">
        <v>16974427</v>
      </c>
      <c r="O33" s="12">
        <v>27084644</v>
      </c>
      <c r="P33" s="12">
        <v>30601156</v>
      </c>
      <c r="Q33" s="12">
        <v>22626431</v>
      </c>
      <c r="R33" s="12">
        <v>15364973</v>
      </c>
      <c r="S33" s="12">
        <v>10943193</v>
      </c>
      <c r="T33" s="12">
        <v>32356509</v>
      </c>
      <c r="U33" s="12">
        <v>10542755</v>
      </c>
      <c r="V33" s="12">
        <v>43530057</v>
      </c>
      <c r="W33" s="12">
        <v>4654879</v>
      </c>
      <c r="X33" s="12">
        <v>19958080</v>
      </c>
      <c r="Y33" s="12">
        <v>9640394</v>
      </c>
      <c r="Z33" s="12">
        <v>24761294</v>
      </c>
      <c r="AA33" s="12">
        <v>35085128</v>
      </c>
      <c r="AB33" s="12">
        <v>88177</v>
      </c>
      <c r="AC33" s="12">
        <v>18566702</v>
      </c>
      <c r="AD33" s="12">
        <v>15829290</v>
      </c>
      <c r="AE33" s="12">
        <v>3877972</v>
      </c>
      <c r="AF33" s="12">
        <v>36451491</v>
      </c>
      <c r="AG33" s="12">
        <v>549514</v>
      </c>
      <c r="AH33" s="12">
        <v>33231245</v>
      </c>
      <c r="AI33" s="12">
        <v>7157736</v>
      </c>
      <c r="AJ33" s="12">
        <v>39379029</v>
      </c>
      <c r="AK33" s="12">
        <v>25744869</v>
      </c>
      <c r="AL33" s="12">
        <v>23942543</v>
      </c>
      <c r="AM33" s="12">
        <v>26646232</v>
      </c>
      <c r="AN33" s="12">
        <v>281660</v>
      </c>
      <c r="AO33" s="12">
        <v>14010080</v>
      </c>
      <c r="AP33" s="12">
        <v>7588064</v>
      </c>
      <c r="AQ33" s="12">
        <v>31271682</v>
      </c>
      <c r="AR33" s="12">
        <v>2135658</v>
      </c>
      <c r="AS33" s="12">
        <v>31935302</v>
      </c>
      <c r="AT33" s="12">
        <v>18243281</v>
      </c>
      <c r="AU33" s="12">
        <v>7570308</v>
      </c>
      <c r="AV33" s="12">
        <v>36333967</v>
      </c>
      <c r="AW33" s="12">
        <v>25773313</v>
      </c>
      <c r="AX33" s="12">
        <v>708738</v>
      </c>
      <c r="AY33" s="12">
        <v>2558142</v>
      </c>
      <c r="AZ33" s="12">
        <v>2173334</v>
      </c>
      <c r="BA33" s="12">
        <v>394703</v>
      </c>
      <c r="BB33" s="12">
        <v>5935192</v>
      </c>
      <c r="BC33" s="12">
        <v>50670</v>
      </c>
      <c r="BD33" s="12">
        <v>6585402</v>
      </c>
      <c r="BE33" s="12">
        <v>40190</v>
      </c>
      <c r="BF33" s="12">
        <v>3511214</v>
      </c>
      <c r="BG33" s="12">
        <v>3590866</v>
      </c>
      <c r="BH33" s="12">
        <v>3851789</v>
      </c>
      <c r="BI33" s="12">
        <v>792105</v>
      </c>
      <c r="BJ33" s="12">
        <v>267121</v>
      </c>
      <c r="BK33" s="12">
        <v>793629</v>
      </c>
      <c r="BL33" s="12">
        <v>3581480</v>
      </c>
      <c r="BM33" s="12">
        <v>456604</v>
      </c>
      <c r="BN33" s="12">
        <v>619021</v>
      </c>
      <c r="BO33" s="12">
        <v>74660</v>
      </c>
    </row>
    <row r="34" spans="1:67" x14ac:dyDescent="0.3">
      <c r="A34" s="9" t="s">
        <v>125</v>
      </c>
      <c r="B34" s="10" t="s">
        <v>126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1"/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  <c r="BK34" s="12">
        <v>0</v>
      </c>
      <c r="BL34" s="12">
        <v>0</v>
      </c>
      <c r="BM34" s="12">
        <v>0</v>
      </c>
      <c r="BN34" s="11"/>
      <c r="BO34" s="11"/>
    </row>
    <row r="35" spans="1:67" x14ac:dyDescent="0.3">
      <c r="A35" s="9" t="s">
        <v>127</v>
      </c>
      <c r="B35" s="10" t="s">
        <v>128</v>
      </c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2">
        <v>23629</v>
      </c>
      <c r="N35" s="12">
        <v>262634</v>
      </c>
      <c r="O35" s="12">
        <v>223378</v>
      </c>
      <c r="P35" s="12">
        <v>26233</v>
      </c>
      <c r="Q35" s="12">
        <v>70000</v>
      </c>
      <c r="R35" s="11"/>
      <c r="S35" s="11"/>
      <c r="T35" s="11"/>
      <c r="U35" s="11"/>
      <c r="V35" s="12">
        <v>402004</v>
      </c>
      <c r="W35" s="12">
        <v>254292</v>
      </c>
      <c r="X35" s="12">
        <v>471880</v>
      </c>
      <c r="Y35" s="12">
        <v>325265</v>
      </c>
      <c r="Z35" s="11"/>
      <c r="AA35" s="11"/>
      <c r="AB35" s="11"/>
      <c r="AC35" s="11"/>
      <c r="AD35" s="11"/>
      <c r="AE35" s="11"/>
      <c r="AF35" s="11"/>
      <c r="AG35" s="11"/>
      <c r="AH35" s="11"/>
      <c r="AI35" s="12">
        <v>1456059</v>
      </c>
      <c r="AJ35" s="12">
        <v>2475152</v>
      </c>
      <c r="AK35" s="12">
        <v>1665612</v>
      </c>
      <c r="AL35" s="11"/>
      <c r="AM35" s="11"/>
      <c r="AN35" s="12">
        <v>57085</v>
      </c>
      <c r="AO35" s="12">
        <v>2151418</v>
      </c>
      <c r="AP35" s="12">
        <v>580150</v>
      </c>
      <c r="AQ35" s="11"/>
      <c r="AR35" s="11"/>
      <c r="AS35" s="11"/>
      <c r="AT35" s="11"/>
      <c r="AU35" s="11"/>
      <c r="AV35" s="11"/>
      <c r="AW35" s="11"/>
      <c r="AX35" s="11"/>
      <c r="AY35" s="12">
        <v>0</v>
      </c>
      <c r="AZ35" s="12">
        <v>0</v>
      </c>
      <c r="BA35" s="12">
        <v>0</v>
      </c>
      <c r="BB35" s="12">
        <v>0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0</v>
      </c>
      <c r="BI35" s="12">
        <v>0</v>
      </c>
      <c r="BJ35" s="12">
        <v>0</v>
      </c>
      <c r="BK35" s="12">
        <v>0</v>
      </c>
      <c r="BL35" s="11"/>
      <c r="BM35" s="11"/>
      <c r="BN35" s="11"/>
      <c r="BO35" s="11"/>
    </row>
    <row r="36" spans="1:67" x14ac:dyDescent="0.3">
      <c r="A36" s="9" t="s">
        <v>129</v>
      </c>
      <c r="B36" s="10" t="s">
        <v>130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0</v>
      </c>
      <c r="BI36" s="12">
        <v>0</v>
      </c>
      <c r="BJ36" s="12">
        <v>0</v>
      </c>
      <c r="BK36" s="12">
        <v>0</v>
      </c>
      <c r="BL36" s="12">
        <v>0</v>
      </c>
      <c r="BM36" s="12">
        <v>0</v>
      </c>
      <c r="BN36" s="11"/>
      <c r="BO36" s="11"/>
    </row>
    <row r="37" spans="1:67" x14ac:dyDescent="0.3">
      <c r="A37" s="9" t="s">
        <v>131</v>
      </c>
      <c r="B37" s="10" t="s">
        <v>132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23629</v>
      </c>
      <c r="N37" s="12">
        <v>262634</v>
      </c>
      <c r="O37" s="12">
        <v>223378</v>
      </c>
      <c r="P37" s="12">
        <v>26233</v>
      </c>
      <c r="Q37" s="12">
        <v>70000</v>
      </c>
      <c r="R37" s="12">
        <v>0</v>
      </c>
      <c r="S37" s="12">
        <v>0</v>
      </c>
      <c r="T37" s="12">
        <v>0</v>
      </c>
      <c r="U37" s="12">
        <v>0</v>
      </c>
      <c r="V37" s="12">
        <v>402004</v>
      </c>
      <c r="W37" s="12">
        <v>254292</v>
      </c>
      <c r="X37" s="12">
        <v>471880</v>
      </c>
      <c r="Y37" s="12">
        <v>325265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1456059</v>
      </c>
      <c r="AJ37" s="12">
        <v>2475152</v>
      </c>
      <c r="AK37" s="12">
        <v>1665612</v>
      </c>
      <c r="AL37" s="12">
        <v>0</v>
      </c>
      <c r="AM37" s="12">
        <v>0</v>
      </c>
      <c r="AN37" s="12">
        <v>57085</v>
      </c>
      <c r="AO37" s="12">
        <v>2151418</v>
      </c>
      <c r="AP37" s="12">
        <v>580150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0</v>
      </c>
      <c r="BI37" s="12">
        <v>0</v>
      </c>
      <c r="BJ37" s="12">
        <v>0</v>
      </c>
      <c r="BK37" s="12">
        <v>0</v>
      </c>
      <c r="BL37" s="12">
        <v>0</v>
      </c>
      <c r="BM37" s="12">
        <v>0</v>
      </c>
      <c r="BN37" s="11"/>
      <c r="BO37" s="11"/>
    </row>
    <row r="38" spans="1:67" x14ac:dyDescent="0.3">
      <c r="A38" s="9" t="s">
        <v>133</v>
      </c>
      <c r="B38" s="10" t="s">
        <v>134</v>
      </c>
      <c r="C38" s="12">
        <v>-13352193</v>
      </c>
      <c r="D38" s="12">
        <v>-11760932</v>
      </c>
      <c r="E38" s="12">
        <v>-1741359</v>
      </c>
      <c r="F38" s="12">
        <v>-27556561</v>
      </c>
      <c r="G38" s="12">
        <v>-6664675</v>
      </c>
      <c r="H38" s="12">
        <v>-17553763</v>
      </c>
      <c r="I38" s="12">
        <v>-8254749</v>
      </c>
      <c r="J38" s="12">
        <v>-1019589</v>
      </c>
      <c r="K38" s="12">
        <v>-23323048</v>
      </c>
      <c r="L38" s="12">
        <v>-14982026</v>
      </c>
      <c r="M38" s="12">
        <v>-12686597</v>
      </c>
      <c r="N38" s="12">
        <v>-17237061</v>
      </c>
      <c r="O38" s="12">
        <v>-27308022</v>
      </c>
      <c r="P38" s="12">
        <v>-30627389</v>
      </c>
      <c r="Q38" s="12">
        <v>-22696431</v>
      </c>
      <c r="R38" s="12">
        <v>-15364973</v>
      </c>
      <c r="S38" s="12">
        <v>-10943193</v>
      </c>
      <c r="T38" s="12">
        <v>-32356509</v>
      </c>
      <c r="U38" s="12">
        <v>-10542755</v>
      </c>
      <c r="V38" s="12">
        <v>-43932061</v>
      </c>
      <c r="W38" s="12">
        <v>-4909171</v>
      </c>
      <c r="X38" s="12">
        <v>-20429960</v>
      </c>
      <c r="Y38" s="12">
        <v>-9965659</v>
      </c>
      <c r="Z38" s="12">
        <v>-24761294</v>
      </c>
      <c r="AA38" s="12">
        <v>-35085128</v>
      </c>
      <c r="AB38" s="12">
        <v>-88177</v>
      </c>
      <c r="AC38" s="12">
        <v>-18566702</v>
      </c>
      <c r="AD38" s="12">
        <v>-15829290</v>
      </c>
      <c r="AE38" s="12">
        <v>-3877972</v>
      </c>
      <c r="AF38" s="12">
        <v>-36451491</v>
      </c>
      <c r="AG38" s="12">
        <v>-549514</v>
      </c>
      <c r="AH38" s="12">
        <v>-33231245</v>
      </c>
      <c r="AI38" s="12">
        <v>-8613795</v>
      </c>
      <c r="AJ38" s="12">
        <v>-41854181</v>
      </c>
      <c r="AK38" s="12">
        <v>-27410481</v>
      </c>
      <c r="AL38" s="12">
        <v>-23942543</v>
      </c>
      <c r="AM38" s="12">
        <v>-26646232</v>
      </c>
      <c r="AN38" s="12">
        <v>-338745</v>
      </c>
      <c r="AO38" s="12">
        <v>-16161498</v>
      </c>
      <c r="AP38" s="12">
        <v>-8168214</v>
      </c>
      <c r="AQ38" s="12">
        <v>-31271682</v>
      </c>
      <c r="AR38" s="12">
        <v>-2135658</v>
      </c>
      <c r="AS38" s="12">
        <v>-31935302</v>
      </c>
      <c r="AT38" s="12">
        <v>-18243281</v>
      </c>
      <c r="AU38" s="12">
        <v>-7570308</v>
      </c>
      <c r="AV38" s="12">
        <v>-36333967</v>
      </c>
      <c r="AW38" s="12">
        <v>-25773313</v>
      </c>
      <c r="AX38" s="12">
        <v>-708738</v>
      </c>
      <c r="AY38" s="12">
        <v>-2558142</v>
      </c>
      <c r="AZ38" s="12">
        <v>-2173334</v>
      </c>
      <c r="BA38" s="12">
        <v>-394703</v>
      </c>
      <c r="BB38" s="12">
        <v>-5935192</v>
      </c>
      <c r="BC38" s="12">
        <v>-50670</v>
      </c>
      <c r="BD38" s="12">
        <v>-6585402</v>
      </c>
      <c r="BE38" s="12">
        <v>-40190</v>
      </c>
      <c r="BF38" s="12">
        <v>-3511214</v>
      </c>
      <c r="BG38" s="12">
        <v>-3590866</v>
      </c>
      <c r="BH38" s="12">
        <v>-3851789</v>
      </c>
      <c r="BI38" s="12">
        <v>-792105</v>
      </c>
      <c r="BJ38" s="12">
        <v>-267121</v>
      </c>
      <c r="BK38" s="12">
        <v>-793629</v>
      </c>
      <c r="BL38" s="12">
        <v>-3581480</v>
      </c>
      <c r="BM38" s="12">
        <v>-456604</v>
      </c>
      <c r="BN38" s="12">
        <v>-619021</v>
      </c>
      <c r="BO38" s="12">
        <v>-74660</v>
      </c>
    </row>
    <row r="39" spans="1:67" x14ac:dyDescent="0.3">
      <c r="A39" s="6" t="s">
        <v>135</v>
      </c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</row>
    <row r="40" spans="1:67" x14ac:dyDescent="0.3">
      <c r="A40" s="9" t="s">
        <v>136</v>
      </c>
      <c r="B40" s="10"/>
      <c r="C40" s="11">
        <f t="shared" ref="C40:BN40" si="0">C20-(C16+C17+C19)</f>
        <v>0</v>
      </c>
      <c r="D40" s="11">
        <f t="shared" si="0"/>
        <v>0</v>
      </c>
      <c r="E40" s="11">
        <f t="shared" si="0"/>
        <v>0</v>
      </c>
      <c r="F40" s="11">
        <f t="shared" si="0"/>
        <v>0</v>
      </c>
      <c r="G40" s="11">
        <f t="shared" si="0"/>
        <v>0</v>
      </c>
      <c r="H40" s="11">
        <f t="shared" si="0"/>
        <v>0</v>
      </c>
      <c r="I40" s="11">
        <f t="shared" si="0"/>
        <v>0</v>
      </c>
      <c r="J40" s="11">
        <f t="shared" si="0"/>
        <v>0</v>
      </c>
      <c r="K40" s="11">
        <f t="shared" si="0"/>
        <v>0</v>
      </c>
      <c r="L40" s="11">
        <f t="shared" si="0"/>
        <v>0</v>
      </c>
      <c r="M40" s="11">
        <f t="shared" si="0"/>
        <v>0</v>
      </c>
      <c r="N40" s="11">
        <f t="shared" si="0"/>
        <v>0</v>
      </c>
      <c r="O40" s="11">
        <f t="shared" si="0"/>
        <v>0</v>
      </c>
      <c r="P40" s="11">
        <f t="shared" si="0"/>
        <v>0</v>
      </c>
      <c r="Q40" s="11">
        <f t="shared" si="0"/>
        <v>0</v>
      </c>
      <c r="R40" s="11">
        <f t="shared" si="0"/>
        <v>0</v>
      </c>
      <c r="S40" s="11">
        <f t="shared" si="0"/>
        <v>0</v>
      </c>
      <c r="T40" s="11">
        <f t="shared" si="0"/>
        <v>0</v>
      </c>
      <c r="U40" s="11">
        <f t="shared" si="0"/>
        <v>0</v>
      </c>
      <c r="V40" s="11">
        <f t="shared" si="0"/>
        <v>0</v>
      </c>
      <c r="W40" s="11">
        <f t="shared" si="0"/>
        <v>0</v>
      </c>
      <c r="X40" s="11">
        <f t="shared" si="0"/>
        <v>0</v>
      </c>
      <c r="Y40" s="11">
        <f t="shared" si="0"/>
        <v>0</v>
      </c>
      <c r="Z40" s="11">
        <f t="shared" si="0"/>
        <v>0</v>
      </c>
      <c r="AA40" s="11">
        <f t="shared" si="0"/>
        <v>0</v>
      </c>
      <c r="AB40" s="11">
        <f t="shared" si="0"/>
        <v>0</v>
      </c>
      <c r="AC40" s="11">
        <f t="shared" si="0"/>
        <v>0</v>
      </c>
      <c r="AD40" s="11">
        <f t="shared" si="0"/>
        <v>0</v>
      </c>
      <c r="AE40" s="11">
        <f t="shared" si="0"/>
        <v>0</v>
      </c>
      <c r="AF40" s="11">
        <f t="shared" si="0"/>
        <v>0</v>
      </c>
      <c r="AG40" s="11">
        <f t="shared" si="0"/>
        <v>0</v>
      </c>
      <c r="AH40" s="11">
        <f t="shared" si="0"/>
        <v>0</v>
      </c>
      <c r="AI40" s="11">
        <f t="shared" si="0"/>
        <v>0</v>
      </c>
      <c r="AJ40" s="11">
        <f t="shared" si="0"/>
        <v>0</v>
      </c>
      <c r="AK40" s="11">
        <f t="shared" si="0"/>
        <v>0</v>
      </c>
      <c r="AL40" s="11">
        <f t="shared" si="0"/>
        <v>0</v>
      </c>
      <c r="AM40" s="11">
        <f t="shared" si="0"/>
        <v>0</v>
      </c>
      <c r="AN40" s="11">
        <f t="shared" si="0"/>
        <v>0</v>
      </c>
      <c r="AO40" s="11">
        <f t="shared" si="0"/>
        <v>0</v>
      </c>
      <c r="AP40" s="11">
        <f t="shared" si="0"/>
        <v>0</v>
      </c>
      <c r="AQ40" s="11">
        <f t="shared" si="0"/>
        <v>0</v>
      </c>
      <c r="AR40" s="11">
        <f t="shared" si="0"/>
        <v>0</v>
      </c>
      <c r="AS40" s="11">
        <f t="shared" si="0"/>
        <v>0</v>
      </c>
      <c r="AT40" s="11">
        <f t="shared" si="0"/>
        <v>0</v>
      </c>
      <c r="AU40" s="11">
        <f t="shared" si="0"/>
        <v>0</v>
      </c>
      <c r="AV40" s="11">
        <f t="shared" si="0"/>
        <v>0</v>
      </c>
      <c r="AW40" s="11">
        <f t="shared" si="0"/>
        <v>0</v>
      </c>
      <c r="AX40" s="11">
        <f t="shared" si="0"/>
        <v>0</v>
      </c>
      <c r="AY40" s="11">
        <f t="shared" si="0"/>
        <v>0</v>
      </c>
      <c r="AZ40" s="11">
        <f t="shared" si="0"/>
        <v>0</v>
      </c>
      <c r="BA40" s="11">
        <f t="shared" si="0"/>
        <v>0</v>
      </c>
      <c r="BB40" s="11">
        <f t="shared" si="0"/>
        <v>0</v>
      </c>
      <c r="BC40" s="11">
        <f t="shared" si="0"/>
        <v>0</v>
      </c>
      <c r="BD40" s="11">
        <f t="shared" si="0"/>
        <v>0</v>
      </c>
      <c r="BE40" s="11">
        <f t="shared" si="0"/>
        <v>0</v>
      </c>
      <c r="BF40" s="11">
        <f t="shared" si="0"/>
        <v>0</v>
      </c>
      <c r="BG40" s="11">
        <f t="shared" si="0"/>
        <v>0</v>
      </c>
      <c r="BH40" s="11">
        <f t="shared" si="0"/>
        <v>0</v>
      </c>
      <c r="BI40" s="11">
        <f t="shared" si="0"/>
        <v>0</v>
      </c>
      <c r="BJ40" s="11">
        <f t="shared" si="0"/>
        <v>0</v>
      </c>
      <c r="BK40" s="11">
        <f t="shared" si="0"/>
        <v>0</v>
      </c>
      <c r="BL40" s="11">
        <f t="shared" si="0"/>
        <v>0</v>
      </c>
      <c r="BM40" s="11">
        <f t="shared" si="0"/>
        <v>0</v>
      </c>
      <c r="BN40" s="11">
        <f t="shared" si="0"/>
        <v>0</v>
      </c>
      <c r="BO40" s="11">
        <f t="shared" ref="BO40:CU40" si="1">BO20-(BO16+BO17+BO19)</f>
        <v>0</v>
      </c>
    </row>
    <row r="41" spans="1:67" x14ac:dyDescent="0.3">
      <c r="A41" s="9" t="s">
        <v>137</v>
      </c>
      <c r="B41" s="10"/>
      <c r="C41" s="11">
        <f t="shared" ref="C41:BN41" si="2">C26-(C20-C24)</f>
        <v>0</v>
      </c>
      <c r="D41" s="11">
        <f t="shared" si="2"/>
        <v>0</v>
      </c>
      <c r="E41" s="11">
        <f t="shared" si="2"/>
        <v>0</v>
      </c>
      <c r="F41" s="11">
        <f t="shared" si="2"/>
        <v>0</v>
      </c>
      <c r="G41" s="11">
        <f t="shared" si="2"/>
        <v>0</v>
      </c>
      <c r="H41" s="11">
        <f t="shared" si="2"/>
        <v>0</v>
      </c>
      <c r="I41" s="11">
        <f t="shared" si="2"/>
        <v>0</v>
      </c>
      <c r="J41" s="11">
        <f t="shared" si="2"/>
        <v>0</v>
      </c>
      <c r="K41" s="11">
        <f t="shared" si="2"/>
        <v>0</v>
      </c>
      <c r="L41" s="11">
        <f t="shared" si="2"/>
        <v>0</v>
      </c>
      <c r="M41" s="11">
        <f t="shared" si="2"/>
        <v>0</v>
      </c>
      <c r="N41" s="11">
        <f t="shared" si="2"/>
        <v>0</v>
      </c>
      <c r="O41" s="11">
        <f t="shared" si="2"/>
        <v>0</v>
      </c>
      <c r="P41" s="11">
        <f t="shared" si="2"/>
        <v>0</v>
      </c>
      <c r="Q41" s="11">
        <f t="shared" si="2"/>
        <v>0</v>
      </c>
      <c r="R41" s="11">
        <f t="shared" si="2"/>
        <v>0</v>
      </c>
      <c r="S41" s="11">
        <f t="shared" si="2"/>
        <v>0</v>
      </c>
      <c r="T41" s="11">
        <f t="shared" si="2"/>
        <v>0</v>
      </c>
      <c r="U41" s="11">
        <f t="shared" si="2"/>
        <v>0</v>
      </c>
      <c r="V41" s="11">
        <f t="shared" si="2"/>
        <v>0</v>
      </c>
      <c r="W41" s="11">
        <f t="shared" si="2"/>
        <v>0</v>
      </c>
      <c r="X41" s="11">
        <f t="shared" si="2"/>
        <v>0</v>
      </c>
      <c r="Y41" s="11">
        <f t="shared" si="2"/>
        <v>0</v>
      </c>
      <c r="Z41" s="11">
        <f t="shared" si="2"/>
        <v>0</v>
      </c>
      <c r="AA41" s="11">
        <f t="shared" si="2"/>
        <v>0</v>
      </c>
      <c r="AB41" s="11">
        <f t="shared" si="2"/>
        <v>0</v>
      </c>
      <c r="AC41" s="11">
        <f t="shared" si="2"/>
        <v>0</v>
      </c>
      <c r="AD41" s="11">
        <f t="shared" si="2"/>
        <v>0</v>
      </c>
      <c r="AE41" s="11">
        <f t="shared" si="2"/>
        <v>0</v>
      </c>
      <c r="AF41" s="11">
        <f t="shared" si="2"/>
        <v>0</v>
      </c>
      <c r="AG41" s="11">
        <f t="shared" si="2"/>
        <v>0</v>
      </c>
      <c r="AH41" s="11">
        <f t="shared" si="2"/>
        <v>0</v>
      </c>
      <c r="AI41" s="11">
        <f t="shared" si="2"/>
        <v>0</v>
      </c>
      <c r="AJ41" s="11">
        <f t="shared" si="2"/>
        <v>0</v>
      </c>
      <c r="AK41" s="11">
        <f t="shared" si="2"/>
        <v>0</v>
      </c>
      <c r="AL41" s="11">
        <f t="shared" si="2"/>
        <v>0</v>
      </c>
      <c r="AM41" s="11">
        <f t="shared" si="2"/>
        <v>0</v>
      </c>
      <c r="AN41" s="11">
        <f t="shared" si="2"/>
        <v>0</v>
      </c>
      <c r="AO41" s="11">
        <f t="shared" si="2"/>
        <v>0</v>
      </c>
      <c r="AP41" s="11">
        <f t="shared" si="2"/>
        <v>0</v>
      </c>
      <c r="AQ41" s="11">
        <f t="shared" si="2"/>
        <v>0</v>
      </c>
      <c r="AR41" s="11">
        <f t="shared" si="2"/>
        <v>0</v>
      </c>
      <c r="AS41" s="11">
        <f t="shared" si="2"/>
        <v>0</v>
      </c>
      <c r="AT41" s="11">
        <f t="shared" si="2"/>
        <v>0</v>
      </c>
      <c r="AU41" s="11">
        <f t="shared" si="2"/>
        <v>0</v>
      </c>
      <c r="AV41" s="11">
        <f t="shared" si="2"/>
        <v>0</v>
      </c>
      <c r="AW41" s="11">
        <f t="shared" si="2"/>
        <v>0</v>
      </c>
      <c r="AX41" s="11">
        <f t="shared" si="2"/>
        <v>0</v>
      </c>
      <c r="AY41" s="11">
        <f t="shared" si="2"/>
        <v>0</v>
      </c>
      <c r="AZ41" s="11">
        <f t="shared" si="2"/>
        <v>0</v>
      </c>
      <c r="BA41" s="11">
        <f t="shared" si="2"/>
        <v>0</v>
      </c>
      <c r="BB41" s="11">
        <f t="shared" si="2"/>
        <v>0</v>
      </c>
      <c r="BC41" s="11">
        <f t="shared" si="2"/>
        <v>0</v>
      </c>
      <c r="BD41" s="11">
        <f t="shared" si="2"/>
        <v>0</v>
      </c>
      <c r="BE41" s="11">
        <f t="shared" si="2"/>
        <v>0</v>
      </c>
      <c r="BF41" s="11">
        <f t="shared" si="2"/>
        <v>0</v>
      </c>
      <c r="BG41" s="11">
        <f t="shared" si="2"/>
        <v>0</v>
      </c>
      <c r="BH41" s="11">
        <f t="shared" si="2"/>
        <v>0</v>
      </c>
      <c r="BI41" s="11">
        <f t="shared" si="2"/>
        <v>0</v>
      </c>
      <c r="BJ41" s="11">
        <f t="shared" si="2"/>
        <v>0</v>
      </c>
      <c r="BK41" s="11">
        <f t="shared" si="2"/>
        <v>0</v>
      </c>
      <c r="BL41" s="11">
        <f t="shared" si="2"/>
        <v>0</v>
      </c>
      <c r="BM41" s="11">
        <f t="shared" si="2"/>
        <v>0</v>
      </c>
      <c r="BN41" s="11">
        <f t="shared" si="2"/>
        <v>0</v>
      </c>
      <c r="BO41" s="11">
        <f t="shared" ref="BO41:CU41" si="3">BO26-(BO20-BO24)</f>
        <v>-1</v>
      </c>
    </row>
    <row r="42" spans="1:67" x14ac:dyDescent="0.3">
      <c r="A42" s="9" t="s">
        <v>138</v>
      </c>
      <c r="B42" s="10"/>
      <c r="C42" s="11">
        <f t="shared" ref="C42:BN42" si="4">C33-MAX(C31-C9-C25,0)</f>
        <v>0</v>
      </c>
      <c r="D42" s="11">
        <f t="shared" si="4"/>
        <v>0</v>
      </c>
      <c r="E42" s="11">
        <f t="shared" si="4"/>
        <v>0</v>
      </c>
      <c r="F42" s="11">
        <f t="shared" si="4"/>
        <v>0</v>
      </c>
      <c r="G42" s="11">
        <f t="shared" si="4"/>
        <v>0</v>
      </c>
      <c r="H42" s="11">
        <f t="shared" si="4"/>
        <v>0</v>
      </c>
      <c r="I42" s="11">
        <f t="shared" si="4"/>
        <v>0</v>
      </c>
      <c r="J42" s="11">
        <f t="shared" si="4"/>
        <v>0</v>
      </c>
      <c r="K42" s="11">
        <f t="shared" si="4"/>
        <v>0</v>
      </c>
      <c r="L42" s="11">
        <f t="shared" si="4"/>
        <v>0</v>
      </c>
      <c r="M42" s="11">
        <f t="shared" si="4"/>
        <v>0</v>
      </c>
      <c r="N42" s="11">
        <f t="shared" si="4"/>
        <v>0</v>
      </c>
      <c r="O42" s="11">
        <f t="shared" si="4"/>
        <v>0</v>
      </c>
      <c r="P42" s="11">
        <f t="shared" si="4"/>
        <v>0</v>
      </c>
      <c r="Q42" s="11">
        <f t="shared" si="4"/>
        <v>0</v>
      </c>
      <c r="R42" s="11">
        <f t="shared" si="4"/>
        <v>0</v>
      </c>
      <c r="S42" s="11">
        <f t="shared" si="4"/>
        <v>0</v>
      </c>
      <c r="T42" s="11">
        <f t="shared" si="4"/>
        <v>0</v>
      </c>
      <c r="U42" s="11">
        <f t="shared" si="4"/>
        <v>0</v>
      </c>
      <c r="V42" s="11">
        <f t="shared" si="4"/>
        <v>0</v>
      </c>
      <c r="W42" s="11">
        <f t="shared" si="4"/>
        <v>0</v>
      </c>
      <c r="X42" s="11">
        <f t="shared" si="4"/>
        <v>0</v>
      </c>
      <c r="Y42" s="11">
        <f t="shared" si="4"/>
        <v>0</v>
      </c>
      <c r="Z42" s="11">
        <f t="shared" si="4"/>
        <v>0</v>
      </c>
      <c r="AA42" s="11">
        <f t="shared" si="4"/>
        <v>0</v>
      </c>
      <c r="AB42" s="11">
        <f t="shared" si="4"/>
        <v>0</v>
      </c>
      <c r="AC42" s="11">
        <f t="shared" si="4"/>
        <v>0</v>
      </c>
      <c r="AD42" s="11">
        <f t="shared" si="4"/>
        <v>0</v>
      </c>
      <c r="AE42" s="11">
        <f t="shared" si="4"/>
        <v>0</v>
      </c>
      <c r="AF42" s="11">
        <f t="shared" si="4"/>
        <v>0</v>
      </c>
      <c r="AG42" s="11">
        <f t="shared" si="4"/>
        <v>0</v>
      </c>
      <c r="AH42" s="11">
        <f t="shared" si="4"/>
        <v>0</v>
      </c>
      <c r="AI42" s="11">
        <f t="shared" si="4"/>
        <v>0</v>
      </c>
      <c r="AJ42" s="11">
        <f t="shared" si="4"/>
        <v>0</v>
      </c>
      <c r="AK42" s="11">
        <f t="shared" si="4"/>
        <v>0</v>
      </c>
      <c r="AL42" s="11">
        <f t="shared" si="4"/>
        <v>0</v>
      </c>
      <c r="AM42" s="11">
        <f t="shared" si="4"/>
        <v>0</v>
      </c>
      <c r="AN42" s="11">
        <f t="shared" si="4"/>
        <v>0</v>
      </c>
      <c r="AO42" s="11">
        <f t="shared" si="4"/>
        <v>0</v>
      </c>
      <c r="AP42" s="11">
        <f t="shared" si="4"/>
        <v>0</v>
      </c>
      <c r="AQ42" s="11">
        <f t="shared" si="4"/>
        <v>0</v>
      </c>
      <c r="AR42" s="11">
        <f t="shared" si="4"/>
        <v>0</v>
      </c>
      <c r="AS42" s="11">
        <f t="shared" si="4"/>
        <v>0</v>
      </c>
      <c r="AT42" s="11">
        <f t="shared" si="4"/>
        <v>0</v>
      </c>
      <c r="AU42" s="11">
        <f t="shared" si="4"/>
        <v>0</v>
      </c>
      <c r="AV42" s="11">
        <f t="shared" si="4"/>
        <v>0</v>
      </c>
      <c r="AW42" s="11">
        <f t="shared" si="4"/>
        <v>0</v>
      </c>
      <c r="AX42" s="11">
        <f t="shared" si="4"/>
        <v>0</v>
      </c>
      <c r="AY42" s="11">
        <f t="shared" si="4"/>
        <v>0</v>
      </c>
      <c r="AZ42" s="11">
        <f t="shared" si="4"/>
        <v>0</v>
      </c>
      <c r="BA42" s="11">
        <f t="shared" si="4"/>
        <v>0</v>
      </c>
      <c r="BB42" s="11">
        <f t="shared" si="4"/>
        <v>0</v>
      </c>
      <c r="BC42" s="11">
        <f t="shared" si="4"/>
        <v>0</v>
      </c>
      <c r="BD42" s="11">
        <f t="shared" si="4"/>
        <v>0</v>
      </c>
      <c r="BE42" s="11">
        <f t="shared" si="4"/>
        <v>0</v>
      </c>
      <c r="BF42" s="11">
        <f t="shared" si="4"/>
        <v>0</v>
      </c>
      <c r="BG42" s="11">
        <f t="shared" si="4"/>
        <v>0</v>
      </c>
      <c r="BH42" s="11">
        <f t="shared" si="4"/>
        <v>0</v>
      </c>
      <c r="BI42" s="11">
        <f t="shared" si="4"/>
        <v>0</v>
      </c>
      <c r="BJ42" s="11">
        <f t="shared" si="4"/>
        <v>0</v>
      </c>
      <c r="BK42" s="11">
        <f t="shared" si="4"/>
        <v>0</v>
      </c>
      <c r="BL42" s="11">
        <f t="shared" si="4"/>
        <v>0</v>
      </c>
      <c r="BM42" s="11">
        <f t="shared" si="4"/>
        <v>0</v>
      </c>
      <c r="BN42" s="11">
        <f t="shared" si="4"/>
        <v>0</v>
      </c>
      <c r="BO42" s="11">
        <f t="shared" ref="BO42:CU42" si="5">BO33-MAX(BO31-BO9-BO25,0)</f>
        <v>0</v>
      </c>
    </row>
    <row r="43" spans="1:67" x14ac:dyDescent="0.3">
      <c r="A43" s="9" t="s">
        <v>139</v>
      </c>
      <c r="B43" s="10"/>
      <c r="C43" s="11">
        <f t="shared" ref="C43:BN43" si="6">C38-(C34-C37-C33)</f>
        <v>0</v>
      </c>
      <c r="D43" s="11">
        <f t="shared" si="6"/>
        <v>0</v>
      </c>
      <c r="E43" s="11">
        <f t="shared" si="6"/>
        <v>0</v>
      </c>
      <c r="F43" s="11">
        <f t="shared" si="6"/>
        <v>0</v>
      </c>
      <c r="G43" s="11">
        <f t="shared" si="6"/>
        <v>0</v>
      </c>
      <c r="H43" s="11">
        <f t="shared" si="6"/>
        <v>0</v>
      </c>
      <c r="I43" s="11">
        <f t="shared" si="6"/>
        <v>0</v>
      </c>
      <c r="J43" s="11">
        <f t="shared" si="6"/>
        <v>0</v>
      </c>
      <c r="K43" s="11">
        <f t="shared" si="6"/>
        <v>0</v>
      </c>
      <c r="L43" s="11">
        <f t="shared" si="6"/>
        <v>0</v>
      </c>
      <c r="M43" s="11">
        <f t="shared" si="6"/>
        <v>0</v>
      </c>
      <c r="N43" s="11">
        <f t="shared" si="6"/>
        <v>0</v>
      </c>
      <c r="O43" s="11">
        <f t="shared" si="6"/>
        <v>0</v>
      </c>
      <c r="P43" s="11">
        <f t="shared" si="6"/>
        <v>0</v>
      </c>
      <c r="Q43" s="11">
        <f t="shared" si="6"/>
        <v>0</v>
      </c>
      <c r="R43" s="11">
        <f t="shared" si="6"/>
        <v>0</v>
      </c>
      <c r="S43" s="11">
        <f t="shared" si="6"/>
        <v>0</v>
      </c>
      <c r="T43" s="11">
        <f t="shared" si="6"/>
        <v>0</v>
      </c>
      <c r="U43" s="11">
        <f t="shared" si="6"/>
        <v>0</v>
      </c>
      <c r="V43" s="11">
        <f t="shared" si="6"/>
        <v>0</v>
      </c>
      <c r="W43" s="11">
        <f t="shared" si="6"/>
        <v>0</v>
      </c>
      <c r="X43" s="11">
        <f t="shared" si="6"/>
        <v>0</v>
      </c>
      <c r="Y43" s="11">
        <f t="shared" si="6"/>
        <v>0</v>
      </c>
      <c r="Z43" s="11">
        <f t="shared" si="6"/>
        <v>0</v>
      </c>
      <c r="AA43" s="11">
        <f t="shared" si="6"/>
        <v>0</v>
      </c>
      <c r="AB43" s="11">
        <f t="shared" si="6"/>
        <v>0</v>
      </c>
      <c r="AC43" s="11">
        <f t="shared" si="6"/>
        <v>0</v>
      </c>
      <c r="AD43" s="11">
        <f t="shared" si="6"/>
        <v>0</v>
      </c>
      <c r="AE43" s="11">
        <f t="shared" si="6"/>
        <v>0</v>
      </c>
      <c r="AF43" s="11">
        <f t="shared" si="6"/>
        <v>0</v>
      </c>
      <c r="AG43" s="11">
        <f t="shared" si="6"/>
        <v>0</v>
      </c>
      <c r="AH43" s="11">
        <f t="shared" si="6"/>
        <v>0</v>
      </c>
      <c r="AI43" s="11">
        <f t="shared" si="6"/>
        <v>0</v>
      </c>
      <c r="AJ43" s="11">
        <f t="shared" si="6"/>
        <v>0</v>
      </c>
      <c r="AK43" s="11">
        <f t="shared" si="6"/>
        <v>0</v>
      </c>
      <c r="AL43" s="11">
        <f t="shared" si="6"/>
        <v>0</v>
      </c>
      <c r="AM43" s="11">
        <f t="shared" si="6"/>
        <v>0</v>
      </c>
      <c r="AN43" s="11">
        <f t="shared" si="6"/>
        <v>0</v>
      </c>
      <c r="AO43" s="11">
        <f t="shared" si="6"/>
        <v>0</v>
      </c>
      <c r="AP43" s="11">
        <f t="shared" si="6"/>
        <v>0</v>
      </c>
      <c r="AQ43" s="11">
        <f t="shared" si="6"/>
        <v>0</v>
      </c>
      <c r="AR43" s="11">
        <f t="shared" si="6"/>
        <v>0</v>
      </c>
      <c r="AS43" s="11">
        <f t="shared" si="6"/>
        <v>0</v>
      </c>
      <c r="AT43" s="11">
        <f t="shared" si="6"/>
        <v>0</v>
      </c>
      <c r="AU43" s="11">
        <f t="shared" si="6"/>
        <v>0</v>
      </c>
      <c r="AV43" s="11">
        <f t="shared" si="6"/>
        <v>0</v>
      </c>
      <c r="AW43" s="11">
        <f t="shared" si="6"/>
        <v>0</v>
      </c>
      <c r="AX43" s="11">
        <f t="shared" si="6"/>
        <v>0</v>
      </c>
      <c r="AY43" s="11">
        <f t="shared" si="6"/>
        <v>0</v>
      </c>
      <c r="AZ43" s="11">
        <f t="shared" si="6"/>
        <v>0</v>
      </c>
      <c r="BA43" s="11">
        <f t="shared" si="6"/>
        <v>0</v>
      </c>
      <c r="BB43" s="11">
        <f t="shared" si="6"/>
        <v>0</v>
      </c>
      <c r="BC43" s="11">
        <f t="shared" si="6"/>
        <v>0</v>
      </c>
      <c r="BD43" s="11">
        <f t="shared" si="6"/>
        <v>0</v>
      </c>
      <c r="BE43" s="11">
        <f t="shared" si="6"/>
        <v>0</v>
      </c>
      <c r="BF43" s="11">
        <f t="shared" si="6"/>
        <v>0</v>
      </c>
      <c r="BG43" s="11">
        <f t="shared" si="6"/>
        <v>0</v>
      </c>
      <c r="BH43" s="11">
        <f t="shared" si="6"/>
        <v>0</v>
      </c>
      <c r="BI43" s="11">
        <f t="shared" si="6"/>
        <v>0</v>
      </c>
      <c r="BJ43" s="11">
        <f t="shared" si="6"/>
        <v>0</v>
      </c>
      <c r="BK43" s="11">
        <f t="shared" si="6"/>
        <v>0</v>
      </c>
      <c r="BL43" s="11">
        <f t="shared" si="6"/>
        <v>0</v>
      </c>
      <c r="BM43" s="11">
        <f t="shared" si="6"/>
        <v>0</v>
      </c>
      <c r="BN43" s="11">
        <f t="shared" si="6"/>
        <v>0</v>
      </c>
      <c r="BO43" s="11">
        <f t="shared" ref="BO43:CU43" si="7">BO38-(BO34-BO37-BO33)</f>
        <v>0</v>
      </c>
    </row>
    <row r="44" spans="1:67" x14ac:dyDescent="0.3">
      <c r="A44" s="6" t="s">
        <v>140</v>
      </c>
      <c r="B44" s="7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</row>
    <row r="45" spans="1:67" x14ac:dyDescent="0.3">
      <c r="A45" s="9" t="s">
        <v>141</v>
      </c>
      <c r="B45" s="10"/>
      <c r="C45" s="11">
        <f t="shared" ref="C45:BN45" si="8">IF((C10+C12)=0,0,C20*C12/(C10+C12))</f>
        <v>2225349.4101667698</v>
      </c>
      <c r="D45" s="11">
        <f t="shared" si="8"/>
        <v>722427.24116114283</v>
      </c>
      <c r="E45" s="11">
        <f t="shared" si="8"/>
        <v>111688.75567336536</v>
      </c>
      <c r="F45" s="11">
        <f t="shared" si="8"/>
        <v>2634235.4267278141</v>
      </c>
      <c r="G45" s="11">
        <f t="shared" si="8"/>
        <v>1241493.4821031441</v>
      </c>
      <c r="H45" s="11">
        <f t="shared" si="8"/>
        <v>1322726.5696115808</v>
      </c>
      <c r="I45" s="11">
        <f t="shared" si="8"/>
        <v>755570.70487485116</v>
      </c>
      <c r="J45" s="11">
        <f t="shared" si="8"/>
        <v>186690.36301640249</v>
      </c>
      <c r="K45" s="11">
        <f t="shared" si="8"/>
        <v>651713.34382671129</v>
      </c>
      <c r="L45" s="11">
        <f t="shared" si="8"/>
        <v>1253017.4519272095</v>
      </c>
      <c r="M45" s="11">
        <f t="shared" si="8"/>
        <v>1041621.8395944359</v>
      </c>
      <c r="N45" s="11">
        <f t="shared" si="8"/>
        <v>1463975.5459071381</v>
      </c>
      <c r="O45" s="11">
        <f t="shared" si="8"/>
        <v>1102543.2015057395</v>
      </c>
      <c r="P45" s="11">
        <f t="shared" si="8"/>
        <v>1165035.4375438604</v>
      </c>
      <c r="Q45" s="11">
        <f t="shared" si="8"/>
        <v>191138.40559208771</v>
      </c>
      <c r="R45" s="11">
        <f t="shared" si="8"/>
        <v>824877.61358814035</v>
      </c>
      <c r="S45" s="11">
        <f t="shared" si="8"/>
        <v>2742987.0093809133</v>
      </c>
      <c r="T45" s="11">
        <f t="shared" si="8"/>
        <v>2567950.3915556301</v>
      </c>
      <c r="U45" s="11">
        <f t="shared" si="8"/>
        <v>4290979.9253171114</v>
      </c>
      <c r="V45" s="11">
        <f t="shared" si="8"/>
        <v>422720.79227740213</v>
      </c>
      <c r="W45" s="11">
        <f t="shared" si="8"/>
        <v>220945.77781576914</v>
      </c>
      <c r="X45" s="11">
        <f t="shared" si="8"/>
        <v>458807.34071120253</v>
      </c>
      <c r="Y45" s="11">
        <f t="shared" si="8"/>
        <v>431676.94688424724</v>
      </c>
      <c r="Z45" s="11">
        <f t="shared" si="8"/>
        <v>1576078.8741123434</v>
      </c>
      <c r="AA45" s="11">
        <f t="shared" si="8"/>
        <v>3450596.8596263076</v>
      </c>
      <c r="AB45" s="11">
        <f t="shared" si="8"/>
        <v>11646.544359318166</v>
      </c>
      <c r="AC45" s="11">
        <f t="shared" si="8"/>
        <v>1679594.0413098158</v>
      </c>
      <c r="AD45" s="11">
        <f t="shared" si="8"/>
        <v>852370.96895528841</v>
      </c>
      <c r="AE45" s="11">
        <f t="shared" si="8"/>
        <v>670392.12546936364</v>
      </c>
      <c r="AF45" s="11">
        <f t="shared" si="8"/>
        <v>2985738.7924560658</v>
      </c>
      <c r="AG45" s="11">
        <f t="shared" si="8"/>
        <v>140016.72267230105</v>
      </c>
      <c r="AH45" s="11">
        <f t="shared" si="8"/>
        <v>3818207.9369818876</v>
      </c>
      <c r="AI45" s="11">
        <f t="shared" si="8"/>
        <v>1375877.3075804727</v>
      </c>
      <c r="AJ45" s="11">
        <f t="shared" si="8"/>
        <v>2442812.3615551386</v>
      </c>
      <c r="AK45" s="11">
        <f t="shared" si="8"/>
        <v>1425765.1515300586</v>
      </c>
      <c r="AL45" s="11">
        <f t="shared" si="8"/>
        <v>3172705.1745266477</v>
      </c>
      <c r="AM45" s="11">
        <f t="shared" si="8"/>
        <v>3572130.7166175805</v>
      </c>
      <c r="AN45" s="11">
        <f t="shared" si="8"/>
        <v>57075.963565082609</v>
      </c>
      <c r="AO45" s="11">
        <f t="shared" si="8"/>
        <v>2201564.0784779559</v>
      </c>
      <c r="AP45" s="11">
        <f t="shared" si="8"/>
        <v>580105.31888159411</v>
      </c>
      <c r="AQ45" s="11">
        <f t="shared" si="8"/>
        <v>859846.8630564051</v>
      </c>
      <c r="AR45" s="11">
        <f t="shared" si="8"/>
        <v>166360.82902139841</v>
      </c>
      <c r="AS45" s="11">
        <f t="shared" si="8"/>
        <v>10040517.547931308</v>
      </c>
      <c r="AT45" s="11">
        <f t="shared" si="8"/>
        <v>1731258.7940695512</v>
      </c>
      <c r="AU45" s="11">
        <f t="shared" si="8"/>
        <v>1073258.8649017687</v>
      </c>
      <c r="AV45" s="11">
        <f t="shared" si="8"/>
        <v>1487297.8815734847</v>
      </c>
      <c r="AW45" s="11">
        <f t="shared" si="8"/>
        <v>4614991.2415892864</v>
      </c>
      <c r="AX45" s="11">
        <f t="shared" si="8"/>
        <v>235298.99939160829</v>
      </c>
      <c r="AY45" s="11">
        <f t="shared" si="8"/>
        <v>5148464.2785162851</v>
      </c>
      <c r="AZ45" s="11">
        <f t="shared" si="8"/>
        <v>2998820.7291155513</v>
      </c>
      <c r="BA45" s="11">
        <f t="shared" si="8"/>
        <v>4367432.3946593879</v>
      </c>
      <c r="BB45" s="11">
        <f t="shared" si="8"/>
        <v>1443742.7539336223</v>
      </c>
      <c r="BC45" s="11">
        <f t="shared" si="8"/>
        <v>177171.43799652229</v>
      </c>
      <c r="BD45" s="11">
        <f t="shared" si="8"/>
        <v>1575971.35239428</v>
      </c>
      <c r="BE45" s="11">
        <f t="shared" si="8"/>
        <v>408377.65512901655</v>
      </c>
      <c r="BF45" s="11">
        <f t="shared" si="8"/>
        <v>4147003.3395397472</v>
      </c>
      <c r="BG45" s="11">
        <f t="shared" si="8"/>
        <v>439535.46117948415</v>
      </c>
      <c r="BH45" s="11">
        <f t="shared" si="8"/>
        <v>416760.49964398268</v>
      </c>
      <c r="BI45" s="11">
        <f t="shared" si="8"/>
        <v>123329.47880606595</v>
      </c>
      <c r="BJ45" s="11">
        <f t="shared" si="8"/>
        <v>2150317.7937881621</v>
      </c>
      <c r="BK45" s="11">
        <f t="shared" si="8"/>
        <v>2271324.6807787456</v>
      </c>
      <c r="BL45" s="11">
        <f t="shared" si="8"/>
        <v>898920.90248900407</v>
      </c>
      <c r="BM45" s="11">
        <f t="shared" si="8"/>
        <v>3931506.2581986915</v>
      </c>
      <c r="BN45" s="11">
        <f t="shared" si="8"/>
        <v>816004.5111178162</v>
      </c>
      <c r="BO45" s="11">
        <f t="shared" ref="BO45:CU45" si="9">IF((BO10+BO12)=0,0,BO20*BO12/(BO10+BO12))</f>
        <v>512779.74895988806</v>
      </c>
    </row>
    <row r="46" spans="1:67" x14ac:dyDescent="0.3">
      <c r="A46" s="9" t="s">
        <v>142</v>
      </c>
      <c r="B46" s="10"/>
      <c r="C46" s="11">
        <f t="shared" ref="C46:BN46" si="10">C24-C45</f>
        <v>-0.41016676975414157</v>
      </c>
      <c r="D46" s="11">
        <f t="shared" si="10"/>
        <v>-0.241161142825149</v>
      </c>
      <c r="E46" s="11">
        <f t="shared" si="10"/>
        <v>0.24432663463812787</v>
      </c>
      <c r="F46" s="11">
        <f t="shared" si="10"/>
        <v>-0.42672781413421035</v>
      </c>
      <c r="G46" s="11">
        <f t="shared" si="10"/>
        <v>-0.48210314405150712</v>
      </c>
      <c r="H46" s="11">
        <f t="shared" si="10"/>
        <v>-0.5696115808095783</v>
      </c>
      <c r="I46" s="11">
        <f t="shared" si="10"/>
        <v>0.29512514884117991</v>
      </c>
      <c r="J46" s="11">
        <f t="shared" si="10"/>
        <v>-0.36301640249439515</v>
      </c>
      <c r="K46" s="11">
        <f t="shared" si="10"/>
        <v>-0.34382671129424125</v>
      </c>
      <c r="L46" s="11">
        <f t="shared" si="10"/>
        <v>-0.45192720950581133</v>
      </c>
      <c r="M46" s="11">
        <f t="shared" si="10"/>
        <v>0.16040556412190199</v>
      </c>
      <c r="N46" s="11">
        <f t="shared" si="10"/>
        <v>0.4540928618516773</v>
      </c>
      <c r="O46" s="11">
        <f t="shared" si="10"/>
        <v>-0.2015057394746691</v>
      </c>
      <c r="P46" s="11">
        <f t="shared" si="10"/>
        <v>0.56245613959617913</v>
      </c>
      <c r="Q46" s="11">
        <f t="shared" si="10"/>
        <v>-0.4055920877144672</v>
      </c>
      <c r="R46" s="11">
        <f t="shared" si="10"/>
        <v>0.38641185965389013</v>
      </c>
      <c r="S46" s="11">
        <f t="shared" si="10"/>
        <v>-366748.00938091334</v>
      </c>
      <c r="T46" s="11">
        <f t="shared" si="10"/>
        <v>-0.39155563013628125</v>
      </c>
      <c r="U46" s="11">
        <f t="shared" si="10"/>
        <v>7.4682888574898243E-2</v>
      </c>
      <c r="V46" s="11">
        <f t="shared" si="10"/>
        <v>0.20772259787190706</v>
      </c>
      <c r="W46" s="11">
        <f t="shared" si="10"/>
        <v>0.22218423086451367</v>
      </c>
      <c r="X46" s="11">
        <f t="shared" si="10"/>
        <v>-0.34071120253065601</v>
      </c>
      <c r="Y46" s="11">
        <f t="shared" si="10"/>
        <v>5.3115752758458257E-2</v>
      </c>
      <c r="Z46" s="11">
        <f t="shared" si="10"/>
        <v>0.12588765658438206</v>
      </c>
      <c r="AA46" s="11">
        <f t="shared" si="10"/>
        <v>0.14037369238212705</v>
      </c>
      <c r="AB46" s="11">
        <f t="shared" si="10"/>
        <v>0.45564068183375639</v>
      </c>
      <c r="AC46" s="11">
        <f t="shared" si="10"/>
        <v>-4.130981583148241E-2</v>
      </c>
      <c r="AD46" s="11">
        <f t="shared" si="10"/>
        <v>3.1044711591675878E-2</v>
      </c>
      <c r="AE46" s="11">
        <f t="shared" si="10"/>
        <v>-0.1254693636437878</v>
      </c>
      <c r="AF46" s="11">
        <f t="shared" si="10"/>
        <v>0.20754393422976136</v>
      </c>
      <c r="AG46" s="11">
        <f t="shared" si="10"/>
        <v>0.27732769894646481</v>
      </c>
      <c r="AH46" s="11">
        <f t="shared" si="10"/>
        <v>6.3018112443387508E-2</v>
      </c>
      <c r="AI46" s="11">
        <f t="shared" si="10"/>
        <v>-0.30758047266863286</v>
      </c>
      <c r="AJ46" s="11">
        <f t="shared" si="10"/>
        <v>-0.36155513860285282</v>
      </c>
      <c r="AK46" s="11">
        <f t="shared" si="10"/>
        <v>-0.15153005858883262</v>
      </c>
      <c r="AL46" s="11">
        <f t="shared" si="10"/>
        <v>-0.17452664766460657</v>
      </c>
      <c r="AM46" s="11">
        <f t="shared" si="10"/>
        <v>0.28338241949677467</v>
      </c>
      <c r="AN46" s="11">
        <f t="shared" si="10"/>
        <v>3.6434917390579358E-2</v>
      </c>
      <c r="AO46" s="11">
        <f t="shared" si="10"/>
        <v>-7.8477955888956785E-2</v>
      </c>
      <c r="AP46" s="11">
        <f t="shared" si="10"/>
        <v>-0.31888159411028028</v>
      </c>
      <c r="AQ46" s="11">
        <f t="shared" si="10"/>
        <v>0.13694359490182251</v>
      </c>
      <c r="AR46" s="11">
        <f t="shared" si="10"/>
        <v>0.17097860158537515</v>
      </c>
      <c r="AS46" s="11">
        <f t="shared" si="10"/>
        <v>-0.54793130792677402</v>
      </c>
      <c r="AT46" s="11">
        <f t="shared" si="10"/>
        <v>172201.20593044884</v>
      </c>
      <c r="AU46" s="11">
        <f t="shared" si="10"/>
        <v>-311019.86490176874</v>
      </c>
      <c r="AV46" s="11">
        <f t="shared" si="10"/>
        <v>1524046.1184265153</v>
      </c>
      <c r="AW46" s="11">
        <f t="shared" si="10"/>
        <v>0.75841071363538504</v>
      </c>
      <c r="AX46" s="11">
        <f t="shared" si="10"/>
        <v>-30168.999391608289</v>
      </c>
      <c r="AY46" s="11">
        <f t="shared" si="10"/>
        <v>0.72148371487855911</v>
      </c>
      <c r="AZ46" s="11">
        <f t="shared" si="10"/>
        <v>0.27088444866240025</v>
      </c>
      <c r="BA46" s="11">
        <f t="shared" si="10"/>
        <v>0.60534061212092638</v>
      </c>
      <c r="BB46" s="11">
        <f t="shared" si="10"/>
        <v>0.24606637773104012</v>
      </c>
      <c r="BC46" s="11">
        <f t="shared" si="10"/>
        <v>0.56200347770936787</v>
      </c>
      <c r="BD46" s="11">
        <f t="shared" si="10"/>
        <v>927.64760571997613</v>
      </c>
      <c r="BE46" s="11">
        <f t="shared" si="10"/>
        <v>0.34487098344834521</v>
      </c>
      <c r="BF46" s="11">
        <f t="shared" si="10"/>
        <v>-0.33953974721953273</v>
      </c>
      <c r="BG46" s="11">
        <f t="shared" si="10"/>
        <v>-75713.461179484148</v>
      </c>
      <c r="BH46" s="11">
        <f t="shared" si="10"/>
        <v>-0.49964398267911747</v>
      </c>
      <c r="BI46" s="11">
        <f t="shared" si="10"/>
        <v>0.52119393405155279</v>
      </c>
      <c r="BJ46" s="11">
        <f t="shared" si="10"/>
        <v>0.20621183793991804</v>
      </c>
      <c r="BK46" s="11">
        <f t="shared" si="10"/>
        <v>-378454.68077874556</v>
      </c>
      <c r="BL46" s="11">
        <f t="shared" si="10"/>
        <v>9.7510995925404131E-2</v>
      </c>
      <c r="BM46" s="11">
        <f t="shared" si="10"/>
        <v>0.7418013084679842</v>
      </c>
      <c r="BN46" s="11">
        <f t="shared" si="10"/>
        <v>-0.51111781620420516</v>
      </c>
      <c r="BO46" s="11">
        <f t="shared" ref="BO46" si="11">BO24-BO45</f>
        <v>-0.74895988806383684</v>
      </c>
    </row>
    <row r="47" spans="1:67" x14ac:dyDescent="0.3">
      <c r="A47" s="9" t="s">
        <v>143</v>
      </c>
      <c r="B47" s="10"/>
      <c r="C47" s="11">
        <f t="shared" ref="C47:BN47" si="12">IF((C10+C12)=0,0,C22*C12/(C10+C12))</f>
        <v>0</v>
      </c>
      <c r="D47" s="11">
        <f t="shared" si="12"/>
        <v>0</v>
      </c>
      <c r="E47" s="11">
        <f t="shared" si="12"/>
        <v>0</v>
      </c>
      <c r="F47" s="11">
        <f t="shared" si="12"/>
        <v>0</v>
      </c>
      <c r="G47" s="11">
        <f t="shared" si="12"/>
        <v>0</v>
      </c>
      <c r="H47" s="11">
        <f t="shared" si="12"/>
        <v>0</v>
      </c>
      <c r="I47" s="11">
        <f t="shared" si="12"/>
        <v>0</v>
      </c>
      <c r="J47" s="11">
        <f t="shared" si="12"/>
        <v>0</v>
      </c>
      <c r="K47" s="11">
        <f t="shared" si="12"/>
        <v>0</v>
      </c>
      <c r="L47" s="11">
        <f t="shared" si="12"/>
        <v>0</v>
      </c>
      <c r="M47" s="11">
        <f t="shared" si="12"/>
        <v>0</v>
      </c>
      <c r="N47" s="11">
        <f t="shared" si="12"/>
        <v>352814.79253726115</v>
      </c>
      <c r="O47" s="11">
        <f t="shared" si="12"/>
        <v>98228.449176050039</v>
      </c>
      <c r="P47" s="11">
        <f t="shared" si="12"/>
        <v>138546.17734109232</v>
      </c>
      <c r="Q47" s="11">
        <f t="shared" si="12"/>
        <v>11805.888544692521</v>
      </c>
      <c r="R47" s="11">
        <f t="shared" si="12"/>
        <v>108847.44957063343</v>
      </c>
      <c r="S47" s="11">
        <f t="shared" si="12"/>
        <v>192447.07292588314</v>
      </c>
      <c r="T47" s="11">
        <f t="shared" si="12"/>
        <v>313303.64199407346</v>
      </c>
      <c r="U47" s="11">
        <f t="shared" si="12"/>
        <v>359557.04167872667</v>
      </c>
      <c r="V47" s="11">
        <f t="shared" si="12"/>
        <v>16495.593325922535</v>
      </c>
      <c r="W47" s="11">
        <f t="shared" si="12"/>
        <v>179553.33753085913</v>
      </c>
      <c r="X47" s="11">
        <f t="shared" si="12"/>
        <v>37371.9575325388</v>
      </c>
      <c r="Y47" s="11">
        <f t="shared" si="12"/>
        <v>53962.298747611945</v>
      </c>
      <c r="Z47" s="11">
        <f t="shared" si="12"/>
        <v>333455.48129213514</v>
      </c>
      <c r="AA47" s="11">
        <f t="shared" si="12"/>
        <v>102524.16476709889</v>
      </c>
      <c r="AB47" s="11">
        <f t="shared" si="12"/>
        <v>184775.28532130204</v>
      </c>
      <c r="AC47" s="11">
        <f t="shared" si="12"/>
        <v>274376.35632468783</v>
      </c>
      <c r="AD47" s="11">
        <f t="shared" si="12"/>
        <v>85268.16304360691</v>
      </c>
      <c r="AE47" s="11">
        <f t="shared" si="12"/>
        <v>247310.86548330792</v>
      </c>
      <c r="AF47" s="11">
        <f t="shared" si="12"/>
        <v>339318.94563443115</v>
      </c>
      <c r="AG47" s="11">
        <f t="shared" si="12"/>
        <v>393579.36971824832</v>
      </c>
      <c r="AH47" s="11">
        <f t="shared" si="12"/>
        <v>508836.38989123277</v>
      </c>
      <c r="AI47" s="11">
        <f t="shared" si="12"/>
        <v>145477.1852937598</v>
      </c>
      <c r="AJ47" s="11">
        <f t="shared" si="12"/>
        <v>81933.408487116045</v>
      </c>
      <c r="AK47" s="11">
        <f t="shared" si="12"/>
        <v>239846.94126482224</v>
      </c>
      <c r="AL47" s="11">
        <f t="shared" si="12"/>
        <v>133501.5654256889</v>
      </c>
      <c r="AM47" s="11">
        <f t="shared" si="12"/>
        <v>553486.89354204712</v>
      </c>
      <c r="AN47" s="11">
        <f t="shared" si="12"/>
        <v>195902.95712065892</v>
      </c>
      <c r="AO47" s="11">
        <f t="shared" si="12"/>
        <v>114308.91807464394</v>
      </c>
      <c r="AP47" s="11">
        <f t="shared" si="12"/>
        <v>87107.954536423262</v>
      </c>
      <c r="AQ47" s="11">
        <f t="shared" si="12"/>
        <v>129224.26431048218</v>
      </c>
      <c r="AR47" s="11">
        <f t="shared" si="12"/>
        <v>129112.10776867696</v>
      </c>
      <c r="AS47" s="11">
        <f t="shared" si="12"/>
        <v>586535.47647814453</v>
      </c>
      <c r="AT47" s="11">
        <f t="shared" si="12"/>
        <v>297367.1573728926</v>
      </c>
      <c r="AU47" s="11">
        <f t="shared" si="12"/>
        <v>281937.45239667193</v>
      </c>
      <c r="AV47" s="11">
        <f t="shared" si="12"/>
        <v>63205.54170148266</v>
      </c>
      <c r="AW47" s="11">
        <f t="shared" si="12"/>
        <v>60078.403123777091</v>
      </c>
      <c r="AX47" s="11">
        <f t="shared" si="12"/>
        <v>91126.244930297762</v>
      </c>
      <c r="AY47" s="11">
        <f t="shared" si="12"/>
        <v>827028.3590824682</v>
      </c>
      <c r="AZ47" s="11">
        <f t="shared" si="12"/>
        <v>595840.63234102691</v>
      </c>
      <c r="BA47" s="11">
        <f t="shared" si="12"/>
        <v>903259.55802364298</v>
      </c>
      <c r="BB47" s="11">
        <f t="shared" si="12"/>
        <v>82383.672943865866</v>
      </c>
      <c r="BC47" s="11">
        <f t="shared" si="12"/>
        <v>225640.43362402392</v>
      </c>
      <c r="BD47" s="11">
        <f t="shared" si="12"/>
        <v>45730.252645734094</v>
      </c>
      <c r="BE47" s="11">
        <f t="shared" si="12"/>
        <v>134664.08128470764</v>
      </c>
      <c r="BF47" s="11">
        <f t="shared" si="12"/>
        <v>329175.98509628535</v>
      </c>
      <c r="BG47" s="11">
        <f t="shared" si="12"/>
        <v>116890.31320498548</v>
      </c>
      <c r="BH47" s="11">
        <f t="shared" si="12"/>
        <v>29429.485308517764</v>
      </c>
      <c r="BI47" s="11">
        <f t="shared" si="12"/>
        <v>29156.862543125841</v>
      </c>
      <c r="BJ47" s="11">
        <f t="shared" si="12"/>
        <v>684263.06419249903</v>
      </c>
      <c r="BK47" s="11">
        <f t="shared" si="12"/>
        <v>111031.59031610671</v>
      </c>
      <c r="BL47" s="11">
        <f t="shared" si="12"/>
        <v>53917.786950808084</v>
      </c>
      <c r="BM47" s="11">
        <f t="shared" si="12"/>
        <v>215362.78749888288</v>
      </c>
      <c r="BN47" s="11">
        <f t="shared" si="12"/>
        <v>110909.85583908684</v>
      </c>
      <c r="BO47" s="11">
        <f t="shared" ref="BO47:CU47" si="13">IF((BO10+BO12)=0,0,BO22*BO12/(BO10+BO12))</f>
        <v>133178.35611987807</v>
      </c>
    </row>
    <row r="48" spans="1:67" x14ac:dyDescent="0.3">
      <c r="A48" s="9" t="s">
        <v>144</v>
      </c>
      <c r="B48" s="10"/>
      <c r="C48" s="11">
        <f t="shared" ref="C48:BN48" si="14">C25-C47</f>
        <v>0</v>
      </c>
      <c r="D48" s="11">
        <f t="shared" si="14"/>
        <v>0</v>
      </c>
      <c r="E48" s="11">
        <f t="shared" si="14"/>
        <v>0</v>
      </c>
      <c r="F48" s="11">
        <f t="shared" si="14"/>
        <v>0</v>
      </c>
      <c r="G48" s="11">
        <f t="shared" si="14"/>
        <v>0</v>
      </c>
      <c r="H48" s="11">
        <f t="shared" si="14"/>
        <v>0</v>
      </c>
      <c r="I48" s="11">
        <f t="shared" si="14"/>
        <v>0</v>
      </c>
      <c r="J48" s="11">
        <f t="shared" si="14"/>
        <v>0</v>
      </c>
      <c r="K48" s="11">
        <f t="shared" si="14"/>
        <v>0</v>
      </c>
      <c r="L48" s="11">
        <f t="shared" si="14"/>
        <v>0</v>
      </c>
      <c r="M48" s="11">
        <f t="shared" si="14"/>
        <v>0</v>
      </c>
      <c r="N48" s="11">
        <f t="shared" si="14"/>
        <v>0.20746273885015398</v>
      </c>
      <c r="O48" s="11">
        <f t="shared" si="14"/>
        <v>-98228.449176050039</v>
      </c>
      <c r="P48" s="11">
        <f t="shared" si="14"/>
        <v>-138546.17734109232</v>
      </c>
      <c r="Q48" s="11">
        <f t="shared" si="14"/>
        <v>-11805.888544692521</v>
      </c>
      <c r="R48" s="11">
        <f t="shared" si="14"/>
        <v>-108847.44957063343</v>
      </c>
      <c r="S48" s="11">
        <f t="shared" si="14"/>
        <v>-192447.07292588314</v>
      </c>
      <c r="T48" s="11">
        <f t="shared" si="14"/>
        <v>0.35800592653686181</v>
      </c>
      <c r="U48" s="11">
        <f t="shared" si="14"/>
        <v>-4.1678726673126221E-2</v>
      </c>
      <c r="V48" s="11">
        <f t="shared" si="14"/>
        <v>0.40667407746514073</v>
      </c>
      <c r="W48" s="11">
        <f t="shared" si="14"/>
        <v>-0.33753085913485847</v>
      </c>
      <c r="X48" s="11">
        <f t="shared" si="14"/>
        <v>4.2467461200430989E-2</v>
      </c>
      <c r="Y48" s="11">
        <f t="shared" si="14"/>
        <v>-0.29874761194514576</v>
      </c>
      <c r="Z48" s="11">
        <f t="shared" si="14"/>
        <v>0.51870786485960707</v>
      </c>
      <c r="AA48" s="11">
        <f t="shared" si="14"/>
        <v>-0.16476709888956975</v>
      </c>
      <c r="AB48" s="11">
        <f t="shared" si="14"/>
        <v>-0.28532130204257555</v>
      </c>
      <c r="AC48" s="11">
        <f t="shared" si="14"/>
        <v>-0.35632468783296645</v>
      </c>
      <c r="AD48" s="11">
        <f t="shared" si="14"/>
        <v>-0.16304360690992326</v>
      </c>
      <c r="AE48" s="11">
        <f t="shared" si="14"/>
        <v>-78118.86548330792</v>
      </c>
      <c r="AF48" s="11">
        <f t="shared" si="14"/>
        <v>5.4365568852517754E-2</v>
      </c>
      <c r="AG48" s="11">
        <f t="shared" si="14"/>
        <v>-187633.36971824832</v>
      </c>
      <c r="AH48" s="11">
        <f t="shared" si="14"/>
        <v>-0.38989123277133331</v>
      </c>
      <c r="AI48" s="11">
        <f t="shared" si="14"/>
        <v>-0.18529375980142504</v>
      </c>
      <c r="AJ48" s="11">
        <f t="shared" si="14"/>
        <v>-0.40848711604485288</v>
      </c>
      <c r="AK48" s="11">
        <f t="shared" si="14"/>
        <v>5.8735177764901891E-2</v>
      </c>
      <c r="AL48" s="11">
        <f t="shared" si="14"/>
        <v>0.43457431110437028</v>
      </c>
      <c r="AM48" s="11">
        <f t="shared" si="14"/>
        <v>0.10645795287564397</v>
      </c>
      <c r="AN48" s="11">
        <f t="shared" si="14"/>
        <v>4.2879341082880273E-2</v>
      </c>
      <c r="AO48" s="11">
        <f t="shared" si="14"/>
        <v>8.192535606212914E-2</v>
      </c>
      <c r="AP48" s="11">
        <f t="shared" si="14"/>
        <v>4.5463576738256961E-2</v>
      </c>
      <c r="AQ48" s="11">
        <f t="shared" si="14"/>
        <v>-0.26431048217636999</v>
      </c>
      <c r="AR48" s="11">
        <f t="shared" si="14"/>
        <v>-0.10776867695676629</v>
      </c>
      <c r="AS48" s="11">
        <f t="shared" si="14"/>
        <v>0.52352185547351837</v>
      </c>
      <c r="AT48" s="11">
        <f t="shared" si="14"/>
        <v>29577.842627107399</v>
      </c>
      <c r="AU48" s="11">
        <f t="shared" si="14"/>
        <v>-81702.452396671928</v>
      </c>
      <c r="AV48" s="11">
        <f t="shared" si="14"/>
        <v>64767.45829851734</v>
      </c>
      <c r="AW48" s="11">
        <f t="shared" si="14"/>
        <v>-0.40312377709051361</v>
      </c>
      <c r="AX48" s="11">
        <f t="shared" si="14"/>
        <v>-11683.244930297762</v>
      </c>
      <c r="AY48" s="11">
        <f t="shared" si="14"/>
        <v>-827028.3590824682</v>
      </c>
      <c r="AZ48" s="11">
        <f t="shared" si="14"/>
        <v>-595840.63234102691</v>
      </c>
      <c r="BA48" s="11">
        <f t="shared" si="14"/>
        <v>-903259.55802364298</v>
      </c>
      <c r="BB48" s="11">
        <f t="shared" si="14"/>
        <v>-82383.672943865866</v>
      </c>
      <c r="BC48" s="11">
        <f t="shared" si="14"/>
        <v>-225640.43362402392</v>
      </c>
      <c r="BD48" s="11">
        <f t="shared" si="14"/>
        <v>-45730.252645734094</v>
      </c>
      <c r="BE48" s="11">
        <f t="shared" si="14"/>
        <v>-134664.08128470764</v>
      </c>
      <c r="BF48" s="11">
        <f t="shared" si="14"/>
        <v>-329175.98509628535</v>
      </c>
      <c r="BG48" s="11">
        <f t="shared" si="14"/>
        <v>-116890.31320498548</v>
      </c>
      <c r="BH48" s="11">
        <f t="shared" si="14"/>
        <v>-29429.485308517764</v>
      </c>
      <c r="BI48" s="11">
        <f t="shared" si="14"/>
        <v>-29156.862543125841</v>
      </c>
      <c r="BJ48" s="11">
        <f t="shared" si="14"/>
        <v>-684263.06419249903</v>
      </c>
      <c r="BK48" s="11">
        <f t="shared" si="14"/>
        <v>-111031.59031610671</v>
      </c>
      <c r="BL48" s="11">
        <f t="shared" si="14"/>
        <v>-53917.786950808084</v>
      </c>
      <c r="BM48" s="11">
        <f t="shared" si="14"/>
        <v>-215362.78749888288</v>
      </c>
      <c r="BN48" s="11">
        <f t="shared" si="14"/>
        <v>-110909.85583908684</v>
      </c>
      <c r="BO48" s="11">
        <f t="shared" ref="BO48" si="15">BO25-BO47</f>
        <v>-133178.35611987807</v>
      </c>
    </row>
    <row r="49" spans="1:67" x14ac:dyDescent="0.3">
      <c r="A49" s="9" t="s">
        <v>145</v>
      </c>
      <c r="B49" s="10"/>
      <c r="C49" s="13" t="str">
        <f t="shared" ref="C49:BN49" si="16">IF(N(C21)=0,"",C22/C21)</f>
        <v/>
      </c>
      <c r="D49" s="13" t="str">
        <f t="shared" si="16"/>
        <v/>
      </c>
      <c r="E49" s="13" t="str">
        <f t="shared" si="16"/>
        <v/>
      </c>
      <c r="F49" s="13" t="str">
        <f t="shared" si="16"/>
        <v/>
      </c>
      <c r="G49" s="13" t="str">
        <f t="shared" si="16"/>
        <v/>
      </c>
      <c r="H49" s="13" t="str">
        <f t="shared" si="16"/>
        <v/>
      </c>
      <c r="I49" s="13" t="str">
        <f t="shared" si="16"/>
        <v/>
      </c>
      <c r="J49" s="13" t="str">
        <f t="shared" si="16"/>
        <v/>
      </c>
      <c r="K49" s="13" t="str">
        <f t="shared" si="16"/>
        <v/>
      </c>
      <c r="L49" s="13" t="str">
        <f t="shared" si="16"/>
        <v/>
      </c>
      <c r="M49" s="13" t="str">
        <f t="shared" si="16"/>
        <v/>
      </c>
      <c r="N49" s="13">
        <f t="shared" si="16"/>
        <v>0.18000001907857327</v>
      </c>
      <c r="O49" s="13">
        <f t="shared" si="16"/>
        <v>0.18</v>
      </c>
      <c r="P49" s="13">
        <f t="shared" si="16"/>
        <v>0.18000001620059231</v>
      </c>
      <c r="Q49" s="13">
        <f t="shared" si="16"/>
        <v>0.18000001021744771</v>
      </c>
      <c r="R49" s="13">
        <f t="shared" si="16"/>
        <v>0.17999996798272011</v>
      </c>
      <c r="S49" s="13">
        <f t="shared" si="16"/>
        <v>0.18000015409537348</v>
      </c>
      <c r="T49" s="13">
        <f t="shared" si="16"/>
        <v>0.17999998241531434</v>
      </c>
      <c r="U49" s="13">
        <f t="shared" si="16"/>
        <v>0.17999997172261584</v>
      </c>
      <c r="V49" s="13">
        <f t="shared" si="16"/>
        <v>0.17999999160735514</v>
      </c>
      <c r="W49" s="13">
        <f t="shared" si="16"/>
        <v>0.18000000788648751</v>
      </c>
      <c r="X49" s="13">
        <f t="shared" si="16"/>
        <v>0.18000000432148755</v>
      </c>
      <c r="Y49" s="13">
        <f t="shared" si="16"/>
        <v>0.17999999146796142</v>
      </c>
      <c r="Z49" s="13">
        <f t="shared" si="16"/>
        <v>0.17999998660245159</v>
      </c>
      <c r="AA49" s="13">
        <f t="shared" si="16"/>
        <v>0.17999999686416618</v>
      </c>
      <c r="AB49" s="13">
        <f t="shared" si="16"/>
        <v>0.1799999912296889</v>
      </c>
      <c r="AC49" s="13">
        <f t="shared" si="16"/>
        <v>0.18000000536955851</v>
      </c>
      <c r="AD49" s="13">
        <f t="shared" si="16"/>
        <v>0.17999995278138059</v>
      </c>
      <c r="AE49" s="13">
        <f t="shared" si="16"/>
        <v>0.18000000827429793</v>
      </c>
      <c r="AF49" s="13">
        <f t="shared" si="16"/>
        <v>0.17999999362897848</v>
      </c>
      <c r="AG49" s="13">
        <f t="shared" si="16"/>
        <v>0.18000000572078534</v>
      </c>
      <c r="AH49" s="13">
        <f t="shared" si="16"/>
        <v>0.14999999400627448</v>
      </c>
      <c r="AI49" s="13">
        <f t="shared" si="16"/>
        <v>0.14999995096310104</v>
      </c>
      <c r="AJ49" s="13">
        <f t="shared" si="16"/>
        <v>0.15000003735384906</v>
      </c>
      <c r="AK49" s="13">
        <f t="shared" si="16"/>
        <v>0.15000000325303264</v>
      </c>
      <c r="AL49" s="13">
        <f t="shared" si="16"/>
        <v>0.14999999345879111</v>
      </c>
      <c r="AM49" s="13">
        <f t="shared" si="16"/>
        <v>0.15000001101097382</v>
      </c>
      <c r="AN49" s="13">
        <f t="shared" si="16"/>
        <v>0.14999997547753816</v>
      </c>
      <c r="AO49" s="13">
        <f t="shared" si="16"/>
        <v>0.14999997345668778</v>
      </c>
      <c r="AP49" s="13">
        <f t="shared" si="16"/>
        <v>0.15000003630195385</v>
      </c>
      <c r="AQ49" s="13">
        <f t="shared" si="16"/>
        <v>0.15000000618762258</v>
      </c>
      <c r="AR49" s="13">
        <f t="shared" si="16"/>
        <v>0.15000002384999689</v>
      </c>
      <c r="AS49" s="13">
        <f t="shared" si="16"/>
        <v>0.14999998793416494</v>
      </c>
      <c r="AT49" s="13">
        <f t="shared" si="16"/>
        <v>0.1499402329667153</v>
      </c>
      <c r="AU49" s="13">
        <f t="shared" si="16"/>
        <v>0.15000005018959958</v>
      </c>
      <c r="AV49" s="13">
        <f t="shared" si="16"/>
        <v>0.11999997424727467</v>
      </c>
      <c r="AW49" s="13">
        <f t="shared" si="16"/>
        <v>0.12000006054798958</v>
      </c>
      <c r="AX49" s="13">
        <f t="shared" si="16"/>
        <v>7.9999966726295918E-2</v>
      </c>
      <c r="AY49" s="13">
        <f t="shared" si="16"/>
        <v>0.08</v>
      </c>
      <c r="AZ49" s="13">
        <f t="shared" si="16"/>
        <v>7.9999993772284034E-2</v>
      </c>
      <c r="BA49" s="13">
        <f t="shared" si="16"/>
        <v>7.9999990252729664E-2</v>
      </c>
      <c r="BB49" s="13">
        <f t="shared" si="16"/>
        <v>7.9999931601417898E-2</v>
      </c>
      <c r="BC49" s="13">
        <f t="shared" si="16"/>
        <v>8.0000077195402794E-2</v>
      </c>
      <c r="BD49" s="13">
        <f t="shared" si="16"/>
        <v>7.9999500102343912E-2</v>
      </c>
      <c r="BE49" s="13">
        <f t="shared" si="16"/>
        <v>8.0000237972002591E-2</v>
      </c>
      <c r="BF49" s="13">
        <f t="shared" si="16"/>
        <v>7.9999973679240749E-2</v>
      </c>
      <c r="BG49" s="13">
        <f t="shared" si="16"/>
        <v>7.9999975658742881E-2</v>
      </c>
      <c r="BH49" s="13">
        <f t="shared" si="16"/>
        <v>8.0000010616311373E-2</v>
      </c>
      <c r="BI49" s="13">
        <f t="shared" si="16"/>
        <v>8.0000029571865916E-2</v>
      </c>
      <c r="BJ49" s="13">
        <f t="shared" si="16"/>
        <v>8.0000037438351518E-2</v>
      </c>
      <c r="BK49" s="13">
        <f t="shared" si="16"/>
        <v>8.0000024366664702E-2</v>
      </c>
      <c r="BL49" s="13">
        <f t="shared" si="16"/>
        <v>8.0000035722674168E-2</v>
      </c>
      <c r="BM49" s="13">
        <f t="shared" si="16"/>
        <v>7.9999960062422437E-2</v>
      </c>
      <c r="BN49" s="13">
        <f t="shared" si="16"/>
        <v>8.0000131251304826E-2</v>
      </c>
      <c r="BO49" s="13">
        <f t="shared" ref="BO49:CU49" si="17">IF(N(BO21)=0,"",BO22/BO21)</f>
        <v>8.0000146819085849E-2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VAT Reconciliation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info@Accuraint</dc:creator>
  <cp:lastModifiedBy>info@Accuraint</cp:lastModifiedBy>
  <dcterms:created xsi:type="dcterms:W3CDTF">2026-10-09T06:30:47Z</dcterms:created>
  <dcterms:modified xsi:type="dcterms:W3CDTF">2026-10-09T06:31:20Z</dcterms:modified>
</cp:coreProperties>
</file>